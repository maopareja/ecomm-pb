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opareja/gemini/ecomm-pb/"/>
    </mc:Choice>
  </mc:AlternateContent>
  <xr:revisionPtr revIDLastSave="0" documentId="13_ncr:1_{294A38CA-7D2D-844A-8DE3-0738DD43FCAE}" xr6:coauthVersionLast="47" xr6:coauthVersionMax="47" xr10:uidLastSave="{00000000-0000-0000-0000-000000000000}"/>
  <bookViews>
    <workbookView xWindow="1720" yWindow="4220" windowWidth="34180" windowHeight="20400" activeTab="5" xr2:uid="{00000000-000D-0000-FFFF-FFFF00000000}"/>
  </bookViews>
  <sheets>
    <sheet name="Prices Tier 1 &amp; 2 " sheetId="1" r:id="rId1"/>
    <sheet name="Catering Menu" sheetId="2" r:id="rId2"/>
    <sheet name="Menu Prices 2024-2025" sheetId="3" r:id="rId3"/>
    <sheet name="Guayaba Menu" sheetId="4" r:id="rId4"/>
    <sheet name="Menu 20230828 - Tier 1" sheetId="5" r:id="rId5"/>
    <sheet name="Menu - Tier 2" sheetId="6" r:id="rId6"/>
    <sheet name="Orden by sales" sheetId="7" r:id="rId7"/>
    <sheet name="$12 Meal" sheetId="8" r:id="rId8"/>
  </sheets>
  <definedNames>
    <definedName name="_xlnm._FilterDatabase" localSheetId="6" hidden="1">'Orden by sales'!$A$1:$F$308</definedName>
    <definedName name="_xlnm._FilterDatabase" localSheetId="0" hidden="1">'Prices Tier 1 &amp; 2 '!$A$1:$G$619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89ewm8eshUjDtc9JctcTPL2xZ3tYctAR4fWIPh+UTKE="/>
    </ext>
  </extLst>
</workbook>
</file>

<file path=xl/calcChain.xml><?xml version="1.0" encoding="utf-8"?>
<calcChain xmlns="http://schemas.openxmlformats.org/spreadsheetml/2006/main">
  <c r="F661" i="1" l="1"/>
  <c r="F662" i="1"/>
  <c r="F663" i="1"/>
  <c r="F664" i="1"/>
  <c r="F665" i="1"/>
  <c r="F672" i="1"/>
  <c r="F694" i="1"/>
  <c r="F696" i="1"/>
  <c r="F698" i="1"/>
  <c r="F700" i="1"/>
  <c r="E38" i="8"/>
  <c r="D38" i="8"/>
  <c r="J34" i="8"/>
  <c r="J35" i="8" s="1"/>
  <c r="E34" i="8"/>
  <c r="E35" i="8" s="1"/>
  <c r="C34" i="8"/>
  <c r="B34" i="8"/>
  <c r="I34" i="8" s="1"/>
  <c r="E33" i="8"/>
  <c r="D33" i="8"/>
  <c r="E32" i="8"/>
  <c r="D32" i="8"/>
  <c r="E31" i="8"/>
  <c r="D31" i="8"/>
  <c r="D34" i="8" s="1"/>
  <c r="D35" i="8" s="1"/>
  <c r="E24" i="8"/>
  <c r="E25" i="8" s="1"/>
  <c r="D24" i="8"/>
  <c r="D25" i="8" s="1"/>
  <c r="C24" i="8"/>
  <c r="B24" i="8"/>
  <c r="E18" i="8"/>
  <c r="D18" i="8"/>
  <c r="J12" i="8"/>
  <c r="J13" i="8" s="1"/>
  <c r="I12" i="8"/>
  <c r="D12" i="8"/>
  <c r="D13" i="8" s="1"/>
  <c r="C12" i="8"/>
  <c r="B12" i="8"/>
  <c r="E11" i="8"/>
  <c r="D11" i="8"/>
  <c r="E10" i="8"/>
  <c r="E12" i="8" s="1"/>
  <c r="E13" i="8" s="1"/>
  <c r="D10" i="8"/>
  <c r="E5" i="8"/>
  <c r="E6" i="8" s="1"/>
  <c r="C5" i="8"/>
  <c r="B5" i="8"/>
  <c r="E4" i="8"/>
  <c r="D4" i="8"/>
  <c r="E3" i="8"/>
  <c r="D3" i="8"/>
  <c r="E2" i="8"/>
  <c r="D2" i="8"/>
  <c r="D5" i="8" s="1"/>
  <c r="D6" i="8" s="1"/>
  <c r="D335" i="7"/>
  <c r="D334" i="7"/>
  <c r="D333" i="7"/>
  <c r="D332" i="7"/>
  <c r="D330" i="7"/>
  <c r="D329" i="7"/>
  <c r="D328" i="7"/>
  <c r="D327" i="7"/>
  <c r="D325" i="7"/>
  <c r="D324" i="7"/>
  <c r="D323" i="7"/>
  <c r="D322" i="7"/>
  <c r="F316" i="7"/>
  <c r="F315" i="7"/>
  <c r="F313" i="7"/>
  <c r="F312" i="7"/>
  <c r="F311" i="7"/>
  <c r="F310" i="7"/>
  <c r="F309" i="7"/>
  <c r="F308" i="7"/>
  <c r="F307" i="7"/>
  <c r="F306" i="7"/>
  <c r="F305" i="7"/>
  <c r="F304" i="7"/>
  <c r="F302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2" i="7"/>
  <c r="F271" i="7"/>
  <c r="F270" i="7"/>
  <c r="F261" i="7"/>
  <c r="F260" i="7"/>
  <c r="F259" i="7"/>
  <c r="F258" i="7"/>
  <c r="F257" i="7"/>
  <c r="F256" i="7"/>
  <c r="F255" i="7"/>
  <c r="F254" i="7"/>
  <c r="F253" i="7"/>
  <c r="F252" i="7"/>
  <c r="F251" i="7"/>
  <c r="E250" i="7"/>
  <c r="F250" i="7" s="1"/>
  <c r="F249" i="7"/>
  <c r="F247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G308" i="7" s="1"/>
  <c r="F6" i="7"/>
  <c r="F5" i="7"/>
  <c r="F4" i="7"/>
  <c r="F3" i="7"/>
  <c r="F2" i="7"/>
  <c r="G474" i="6"/>
  <c r="F474" i="6"/>
  <c r="G473" i="6"/>
  <c r="F473" i="6"/>
  <c r="G472" i="6"/>
  <c r="F472" i="6"/>
  <c r="G471" i="6"/>
  <c r="F471" i="6"/>
  <c r="E471" i="6"/>
  <c r="D471" i="6"/>
  <c r="G470" i="6"/>
  <c r="F470" i="6"/>
  <c r="E470" i="6"/>
  <c r="D470" i="6"/>
  <c r="F469" i="6"/>
  <c r="E469" i="6"/>
  <c r="D469" i="6"/>
  <c r="G469" i="6" s="1"/>
  <c r="G468" i="6"/>
  <c r="F468" i="6"/>
  <c r="E468" i="6"/>
  <c r="D468" i="6"/>
  <c r="G467" i="6"/>
  <c r="F467" i="6"/>
  <c r="E467" i="6"/>
  <c r="D467" i="6"/>
  <c r="G466" i="6"/>
  <c r="F466" i="6"/>
  <c r="G465" i="6"/>
  <c r="E465" i="6"/>
  <c r="D465" i="6"/>
  <c r="F465" i="6" s="1"/>
  <c r="E464" i="6"/>
  <c r="D464" i="6"/>
  <c r="G464" i="6" s="1"/>
  <c r="E463" i="6"/>
  <c r="D463" i="6"/>
  <c r="G463" i="6" s="1"/>
  <c r="G462" i="6"/>
  <c r="E462" i="6"/>
  <c r="D462" i="6"/>
  <c r="F462" i="6" s="1"/>
  <c r="E461" i="6"/>
  <c r="D461" i="6"/>
  <c r="G461" i="6" s="1"/>
  <c r="G460" i="6"/>
  <c r="F460" i="6"/>
  <c r="F459" i="6"/>
  <c r="E459" i="6"/>
  <c r="D459" i="6"/>
  <c r="G459" i="6" s="1"/>
  <c r="G458" i="6"/>
  <c r="F458" i="6"/>
  <c r="E458" i="6"/>
  <c r="D458" i="6"/>
  <c r="G457" i="6"/>
  <c r="F457" i="6"/>
  <c r="E457" i="6"/>
  <c r="D457" i="6"/>
  <c r="F456" i="6"/>
  <c r="E456" i="6"/>
  <c r="D456" i="6"/>
  <c r="G456" i="6" s="1"/>
  <c r="G455" i="6"/>
  <c r="F455" i="6"/>
  <c r="E454" i="6"/>
  <c r="D454" i="6"/>
  <c r="G454" i="6" s="1"/>
  <c r="E453" i="6"/>
  <c r="D453" i="6"/>
  <c r="G453" i="6" s="1"/>
  <c r="G452" i="6"/>
  <c r="E452" i="6"/>
  <c r="D452" i="6"/>
  <c r="F452" i="6" s="1"/>
  <c r="E451" i="6"/>
  <c r="D451" i="6"/>
  <c r="G451" i="6" s="1"/>
  <c r="G450" i="6"/>
  <c r="F450" i="6"/>
  <c r="G447" i="6"/>
  <c r="F447" i="6"/>
  <c r="G446" i="6"/>
  <c r="F446" i="6"/>
  <c r="G445" i="6"/>
  <c r="F445" i="6"/>
  <c r="G444" i="6"/>
  <c r="F444" i="6"/>
  <c r="G443" i="6"/>
  <c r="F443" i="6"/>
  <c r="G442" i="6"/>
  <c r="F442" i="6"/>
  <c r="G441" i="6"/>
  <c r="F441" i="6"/>
  <c r="G440" i="6"/>
  <c r="F440" i="6"/>
  <c r="G439" i="6"/>
  <c r="F439" i="6"/>
  <c r="G438" i="6"/>
  <c r="F438" i="6"/>
  <c r="G437" i="6"/>
  <c r="F437" i="6"/>
  <c r="G436" i="6"/>
  <c r="F436" i="6"/>
  <c r="G435" i="6"/>
  <c r="F435" i="6"/>
  <c r="G434" i="6"/>
  <c r="F434" i="6"/>
  <c r="G433" i="6"/>
  <c r="F433" i="6"/>
  <c r="G432" i="6"/>
  <c r="F432" i="6"/>
  <c r="G431" i="6"/>
  <c r="F431" i="6"/>
  <c r="G430" i="6"/>
  <c r="F430" i="6"/>
  <c r="G429" i="6"/>
  <c r="F429" i="6"/>
  <c r="G428" i="6"/>
  <c r="F428" i="6"/>
  <c r="G427" i="6"/>
  <c r="F427" i="6"/>
  <c r="G426" i="6"/>
  <c r="F426" i="6"/>
  <c r="G425" i="6"/>
  <c r="F425" i="6"/>
  <c r="G424" i="6"/>
  <c r="F424" i="6"/>
  <c r="G423" i="6"/>
  <c r="F423" i="6"/>
  <c r="G422" i="6"/>
  <c r="F422" i="6"/>
  <c r="G421" i="6"/>
  <c r="F421" i="6"/>
  <c r="G420" i="6"/>
  <c r="F420" i="6"/>
  <c r="G419" i="6"/>
  <c r="F419" i="6"/>
  <c r="G418" i="6"/>
  <c r="F418" i="6"/>
  <c r="G417" i="6"/>
  <c r="F417" i="6"/>
  <c r="G416" i="6"/>
  <c r="F416" i="6"/>
  <c r="G415" i="6"/>
  <c r="F415" i="6"/>
  <c r="G414" i="6"/>
  <c r="F414" i="6"/>
  <c r="G413" i="6"/>
  <c r="F413" i="6"/>
  <c r="G412" i="6"/>
  <c r="F412" i="6"/>
  <c r="G411" i="6"/>
  <c r="F411" i="6"/>
  <c r="G410" i="6"/>
  <c r="F410" i="6"/>
  <c r="G409" i="6"/>
  <c r="F409" i="6"/>
  <c r="G408" i="6"/>
  <c r="F408" i="6"/>
  <c r="G407" i="6"/>
  <c r="F407" i="6"/>
  <c r="G406" i="6"/>
  <c r="F406" i="6"/>
  <c r="G405" i="6"/>
  <c r="F405" i="6"/>
  <c r="G404" i="6"/>
  <c r="F404" i="6"/>
  <c r="G403" i="6"/>
  <c r="F403" i="6"/>
  <c r="G402" i="6"/>
  <c r="F402" i="6"/>
  <c r="G401" i="6"/>
  <c r="F401" i="6"/>
  <c r="G400" i="6"/>
  <c r="F400" i="6"/>
  <c r="G399" i="6"/>
  <c r="F399" i="6"/>
  <c r="G398" i="6"/>
  <c r="F398" i="6"/>
  <c r="G397" i="6"/>
  <c r="F397" i="6"/>
  <c r="G396" i="6"/>
  <c r="F396" i="6"/>
  <c r="G395" i="6"/>
  <c r="F395" i="6"/>
  <c r="G394" i="6"/>
  <c r="F394" i="6"/>
  <c r="G393" i="6"/>
  <c r="F393" i="6"/>
  <c r="G392" i="6"/>
  <c r="F392" i="6"/>
  <c r="G391" i="6"/>
  <c r="F391" i="6"/>
  <c r="G390" i="6"/>
  <c r="F390" i="6"/>
  <c r="G389" i="6"/>
  <c r="F389" i="6"/>
  <c r="G388" i="6"/>
  <c r="F388" i="6"/>
  <c r="G387" i="6"/>
  <c r="F387" i="6"/>
  <c r="G386" i="6"/>
  <c r="F386" i="6"/>
  <c r="G385" i="6"/>
  <c r="F385" i="6"/>
  <c r="G384" i="6"/>
  <c r="F384" i="6"/>
  <c r="G383" i="6"/>
  <c r="F383" i="6"/>
  <c r="G382" i="6"/>
  <c r="F382" i="6"/>
  <c r="G381" i="6"/>
  <c r="F381" i="6"/>
  <c r="G380" i="6"/>
  <c r="F380" i="6"/>
  <c r="G379" i="6"/>
  <c r="F379" i="6"/>
  <c r="G378" i="6"/>
  <c r="F378" i="6"/>
  <c r="G377" i="6"/>
  <c r="F377" i="6"/>
  <c r="G376" i="6"/>
  <c r="F376" i="6"/>
  <c r="G375" i="6"/>
  <c r="F375" i="6"/>
  <c r="G374" i="6"/>
  <c r="F374" i="6"/>
  <c r="G373" i="6"/>
  <c r="F373" i="6"/>
  <c r="G372" i="6"/>
  <c r="F372" i="6"/>
  <c r="G371" i="6"/>
  <c r="F371" i="6"/>
  <c r="G370" i="6"/>
  <c r="F370" i="6"/>
  <c r="G369" i="6"/>
  <c r="F369" i="6"/>
  <c r="G368" i="6"/>
  <c r="F368" i="6"/>
  <c r="G367" i="6"/>
  <c r="F367" i="6"/>
  <c r="G366" i="6"/>
  <c r="F366" i="6"/>
  <c r="G365" i="6"/>
  <c r="F365" i="6"/>
  <c r="G364" i="6"/>
  <c r="F364" i="6"/>
  <c r="G363" i="6"/>
  <c r="F363" i="6"/>
  <c r="G362" i="6"/>
  <c r="F362" i="6"/>
  <c r="G361" i="6"/>
  <c r="F361" i="6"/>
  <c r="G360" i="6"/>
  <c r="F360" i="6"/>
  <c r="G359" i="6"/>
  <c r="F359" i="6"/>
  <c r="G358" i="6"/>
  <c r="F358" i="6"/>
  <c r="G357" i="6"/>
  <c r="F357" i="6"/>
  <c r="G356" i="6"/>
  <c r="F356" i="6"/>
  <c r="G355" i="6"/>
  <c r="F355" i="6"/>
  <c r="G354" i="6"/>
  <c r="F354" i="6"/>
  <c r="G353" i="6"/>
  <c r="F353" i="6"/>
  <c r="G352" i="6"/>
  <c r="F352" i="6"/>
  <c r="G351" i="6"/>
  <c r="F351" i="6"/>
  <c r="G350" i="6"/>
  <c r="F350" i="6"/>
  <c r="G349" i="6"/>
  <c r="F349" i="6"/>
  <c r="G348" i="6"/>
  <c r="F348" i="6"/>
  <c r="G347" i="6"/>
  <c r="F347" i="6"/>
  <c r="G346" i="6"/>
  <c r="F346" i="6"/>
  <c r="G345" i="6"/>
  <c r="F345" i="6"/>
  <c r="G344" i="6"/>
  <c r="F344" i="6"/>
  <c r="G343" i="6"/>
  <c r="F343" i="6"/>
  <c r="G342" i="6"/>
  <c r="F342" i="6"/>
  <c r="G341" i="6"/>
  <c r="F341" i="6"/>
  <c r="G340" i="6"/>
  <c r="F340" i="6"/>
  <c r="G339" i="6"/>
  <c r="F339" i="6"/>
  <c r="G338" i="6"/>
  <c r="F338" i="6"/>
  <c r="G337" i="6"/>
  <c r="F337" i="6"/>
  <c r="G336" i="6"/>
  <c r="F336" i="6"/>
  <c r="G335" i="6"/>
  <c r="F335" i="6"/>
  <c r="G334" i="6"/>
  <c r="F334" i="6"/>
  <c r="G333" i="6"/>
  <c r="F333" i="6"/>
  <c r="G332" i="6"/>
  <c r="F332" i="6"/>
  <c r="G331" i="6"/>
  <c r="F331" i="6"/>
  <c r="G330" i="6"/>
  <c r="F330" i="6"/>
  <c r="G329" i="6"/>
  <c r="F329" i="6"/>
  <c r="G328" i="6"/>
  <c r="F328" i="6"/>
  <c r="G327" i="6"/>
  <c r="F327" i="6"/>
  <c r="G326" i="6"/>
  <c r="F326" i="6"/>
  <c r="G325" i="6"/>
  <c r="F325" i="6"/>
  <c r="G324" i="6"/>
  <c r="F324" i="6"/>
  <c r="G323" i="6"/>
  <c r="F323" i="6"/>
  <c r="G322" i="6"/>
  <c r="F322" i="6"/>
  <c r="G321" i="6"/>
  <c r="F321" i="6"/>
  <c r="G320" i="6"/>
  <c r="F320" i="6"/>
  <c r="G319" i="6"/>
  <c r="F319" i="6"/>
  <c r="G318" i="6"/>
  <c r="F318" i="6"/>
  <c r="G317" i="6"/>
  <c r="F317" i="6"/>
  <c r="G316" i="6"/>
  <c r="F316" i="6"/>
  <c r="G315" i="6"/>
  <c r="F315" i="6"/>
  <c r="G314" i="6"/>
  <c r="F314" i="6"/>
  <c r="G313" i="6"/>
  <c r="F313" i="6"/>
  <c r="G312" i="6"/>
  <c r="F312" i="6"/>
  <c r="G311" i="6"/>
  <c r="F311" i="6"/>
  <c r="G310" i="6"/>
  <c r="F310" i="6"/>
  <c r="G309" i="6"/>
  <c r="F309" i="6"/>
  <c r="G308" i="6"/>
  <c r="F308" i="6"/>
  <c r="G307" i="6"/>
  <c r="F307" i="6"/>
  <c r="G306" i="6"/>
  <c r="F306" i="6"/>
  <c r="G305" i="6"/>
  <c r="F305" i="6"/>
  <c r="G304" i="6"/>
  <c r="F304" i="6"/>
  <c r="G303" i="6"/>
  <c r="F303" i="6"/>
  <c r="G302" i="6"/>
  <c r="F302" i="6"/>
  <c r="G301" i="6"/>
  <c r="F301" i="6"/>
  <c r="G300" i="6"/>
  <c r="F300" i="6"/>
  <c r="G299" i="6"/>
  <c r="F299" i="6"/>
  <c r="G298" i="6"/>
  <c r="F298" i="6"/>
  <c r="G297" i="6"/>
  <c r="F297" i="6"/>
  <c r="G296" i="6"/>
  <c r="F296" i="6"/>
  <c r="G295" i="6"/>
  <c r="F295" i="6"/>
  <c r="G294" i="6"/>
  <c r="F294" i="6"/>
  <c r="G293" i="6"/>
  <c r="F293" i="6"/>
  <c r="G292" i="6"/>
  <c r="F292" i="6"/>
  <c r="G291" i="6"/>
  <c r="F291" i="6"/>
  <c r="G290" i="6"/>
  <c r="F290" i="6"/>
  <c r="G289" i="6"/>
  <c r="F289" i="6"/>
  <c r="G288" i="6"/>
  <c r="F288" i="6"/>
  <c r="G287" i="6"/>
  <c r="F287" i="6"/>
  <c r="G286" i="6"/>
  <c r="F286" i="6"/>
  <c r="G285" i="6"/>
  <c r="F285" i="6"/>
  <c r="G284" i="6"/>
  <c r="F284" i="6"/>
  <c r="G283" i="6"/>
  <c r="F283" i="6"/>
  <c r="G282" i="6"/>
  <c r="F282" i="6"/>
  <c r="G281" i="6"/>
  <c r="F281" i="6"/>
  <c r="G280" i="6"/>
  <c r="F280" i="6"/>
  <c r="G279" i="6"/>
  <c r="F279" i="6"/>
  <c r="G278" i="6"/>
  <c r="F278" i="6"/>
  <c r="G277" i="6"/>
  <c r="F277" i="6"/>
  <c r="G276" i="6"/>
  <c r="F276" i="6"/>
  <c r="G275" i="6"/>
  <c r="F275" i="6"/>
  <c r="G274" i="6"/>
  <c r="F274" i="6"/>
  <c r="G273" i="6"/>
  <c r="F273" i="6"/>
  <c r="G272" i="6"/>
  <c r="F272" i="6"/>
  <c r="G271" i="6"/>
  <c r="F271" i="6"/>
  <c r="G270" i="6"/>
  <c r="F270" i="6"/>
  <c r="G269" i="6"/>
  <c r="F269" i="6"/>
  <c r="G268" i="6"/>
  <c r="F268" i="6"/>
  <c r="G267" i="6"/>
  <c r="F267" i="6"/>
  <c r="G266" i="6"/>
  <c r="F266" i="6"/>
  <c r="G265" i="6"/>
  <c r="F265" i="6"/>
  <c r="G264" i="6"/>
  <c r="F264" i="6"/>
  <c r="G263" i="6"/>
  <c r="F263" i="6"/>
  <c r="G262" i="6"/>
  <c r="F262" i="6"/>
  <c r="G261" i="6"/>
  <c r="F261" i="6"/>
  <c r="G260" i="6"/>
  <c r="F260" i="6"/>
  <c r="F259" i="6"/>
  <c r="G258" i="6"/>
  <c r="F258" i="6"/>
  <c r="G257" i="6"/>
  <c r="F257" i="6"/>
  <c r="F256" i="6"/>
  <c r="G255" i="6"/>
  <c r="F255" i="6"/>
  <c r="G254" i="6"/>
  <c r="F254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F69" i="6"/>
  <c r="G68" i="6"/>
  <c r="F68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  <c r="G471" i="5"/>
  <c r="F471" i="5"/>
  <c r="G470" i="5"/>
  <c r="F470" i="5"/>
  <c r="G469" i="5"/>
  <c r="F469" i="5"/>
  <c r="G468" i="5"/>
  <c r="E468" i="5"/>
  <c r="D468" i="5"/>
  <c r="F468" i="5" s="1"/>
  <c r="E467" i="5"/>
  <c r="D467" i="5"/>
  <c r="G467" i="5" s="1"/>
  <c r="E466" i="5"/>
  <c r="D466" i="5"/>
  <c r="G466" i="5" s="1"/>
  <c r="G465" i="5"/>
  <c r="E465" i="5"/>
  <c r="D465" i="5"/>
  <c r="F465" i="5" s="1"/>
  <c r="E464" i="5"/>
  <c r="D464" i="5"/>
  <c r="G464" i="5" s="1"/>
  <c r="G463" i="5"/>
  <c r="F463" i="5"/>
  <c r="F462" i="5"/>
  <c r="E462" i="5"/>
  <c r="D462" i="5"/>
  <c r="G462" i="5" s="1"/>
  <c r="G461" i="5"/>
  <c r="F461" i="5"/>
  <c r="E461" i="5"/>
  <c r="D461" i="5"/>
  <c r="G460" i="5"/>
  <c r="F460" i="5"/>
  <c r="E460" i="5"/>
  <c r="D460" i="5"/>
  <c r="F459" i="5"/>
  <c r="E459" i="5"/>
  <c r="D459" i="5"/>
  <c r="G459" i="5" s="1"/>
  <c r="G458" i="5"/>
  <c r="F458" i="5"/>
  <c r="E458" i="5"/>
  <c r="D458" i="5"/>
  <c r="G457" i="5"/>
  <c r="F457" i="5"/>
  <c r="E456" i="5"/>
  <c r="D456" i="5"/>
  <c r="G456" i="5" s="1"/>
  <c r="G455" i="5"/>
  <c r="E455" i="5"/>
  <c r="D455" i="5"/>
  <c r="F455" i="5" s="1"/>
  <c r="E454" i="5"/>
  <c r="D454" i="5"/>
  <c r="G454" i="5" s="1"/>
  <c r="E453" i="5"/>
  <c r="D453" i="5"/>
  <c r="G453" i="5" s="1"/>
  <c r="G452" i="5"/>
  <c r="F452" i="5"/>
  <c r="G451" i="5"/>
  <c r="F451" i="5"/>
  <c r="E451" i="5"/>
  <c r="D451" i="5"/>
  <c r="G450" i="5"/>
  <c r="F450" i="5"/>
  <c r="E450" i="5"/>
  <c r="D450" i="5"/>
  <c r="G449" i="5"/>
  <c r="F449" i="5"/>
  <c r="E449" i="5"/>
  <c r="D449" i="5"/>
  <c r="G448" i="5"/>
  <c r="F448" i="5"/>
  <c r="E448" i="5"/>
  <c r="D448" i="5"/>
  <c r="G447" i="5"/>
  <c r="F447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G321" i="5"/>
  <c r="F321" i="5"/>
  <c r="G320" i="5"/>
  <c r="F320" i="5"/>
  <c r="G319" i="5"/>
  <c r="F319" i="5"/>
  <c r="G318" i="5"/>
  <c r="F318" i="5"/>
  <c r="G317" i="5"/>
  <c r="F317" i="5"/>
  <c r="G316" i="5"/>
  <c r="F316" i="5"/>
  <c r="G315" i="5"/>
  <c r="F315" i="5"/>
  <c r="G314" i="5"/>
  <c r="F314" i="5"/>
  <c r="G313" i="5"/>
  <c r="F313" i="5"/>
  <c r="G312" i="5"/>
  <c r="F312" i="5"/>
  <c r="G311" i="5"/>
  <c r="F311" i="5"/>
  <c r="G310" i="5"/>
  <c r="F310" i="5"/>
  <c r="G309" i="5"/>
  <c r="F309" i="5"/>
  <c r="G308" i="5"/>
  <c r="F308" i="5"/>
  <c r="G307" i="5"/>
  <c r="F307" i="5"/>
  <c r="G306" i="5"/>
  <c r="F306" i="5"/>
  <c r="G305" i="5"/>
  <c r="F305" i="5"/>
  <c r="G304" i="5"/>
  <c r="F304" i="5"/>
  <c r="G303" i="5"/>
  <c r="F303" i="5"/>
  <c r="G302" i="5"/>
  <c r="F302" i="5"/>
  <c r="G301" i="5"/>
  <c r="F301" i="5"/>
  <c r="G300" i="5"/>
  <c r="F300" i="5"/>
  <c r="G299" i="5"/>
  <c r="F299" i="5"/>
  <c r="G298" i="5"/>
  <c r="F298" i="5"/>
  <c r="G297" i="5"/>
  <c r="F297" i="5"/>
  <c r="G296" i="5"/>
  <c r="F296" i="5"/>
  <c r="G295" i="5"/>
  <c r="F295" i="5"/>
  <c r="G294" i="5"/>
  <c r="F294" i="5"/>
  <c r="G293" i="5"/>
  <c r="F293" i="5"/>
  <c r="G292" i="5"/>
  <c r="F292" i="5"/>
  <c r="G291" i="5"/>
  <c r="F291" i="5"/>
  <c r="G290" i="5"/>
  <c r="F290" i="5"/>
  <c r="G289" i="5"/>
  <c r="F289" i="5"/>
  <c r="G288" i="5"/>
  <c r="F288" i="5"/>
  <c r="G287" i="5"/>
  <c r="F287" i="5"/>
  <c r="G286" i="5"/>
  <c r="F286" i="5"/>
  <c r="G285" i="5"/>
  <c r="F285" i="5"/>
  <c r="G284" i="5"/>
  <c r="F284" i="5"/>
  <c r="G283" i="5"/>
  <c r="F283" i="5"/>
  <c r="G282" i="5"/>
  <c r="F282" i="5"/>
  <c r="G281" i="5"/>
  <c r="F281" i="5"/>
  <c r="G280" i="5"/>
  <c r="F280" i="5"/>
  <c r="G279" i="5"/>
  <c r="F279" i="5"/>
  <c r="G278" i="5"/>
  <c r="F278" i="5"/>
  <c r="G277" i="5"/>
  <c r="F277" i="5"/>
  <c r="G276" i="5"/>
  <c r="F276" i="5"/>
  <c r="G275" i="5"/>
  <c r="F275" i="5"/>
  <c r="G274" i="5"/>
  <c r="F274" i="5"/>
  <c r="G273" i="5"/>
  <c r="F273" i="5"/>
  <c r="G272" i="5"/>
  <c r="F272" i="5"/>
  <c r="G271" i="5"/>
  <c r="F271" i="5"/>
  <c r="G270" i="5"/>
  <c r="F270" i="5"/>
  <c r="G269" i="5"/>
  <c r="F269" i="5"/>
  <c r="G268" i="5"/>
  <c r="F268" i="5"/>
  <c r="G267" i="5"/>
  <c r="F267" i="5"/>
  <c r="G266" i="5"/>
  <c r="F266" i="5"/>
  <c r="G265" i="5"/>
  <c r="F265" i="5"/>
  <c r="G264" i="5"/>
  <c r="F264" i="5"/>
  <c r="G263" i="5"/>
  <c r="F263" i="5"/>
  <c r="G262" i="5"/>
  <c r="F262" i="5"/>
  <c r="G261" i="5"/>
  <c r="F261" i="5"/>
  <c r="G260" i="5"/>
  <c r="F260" i="5"/>
  <c r="F259" i="5"/>
  <c r="G258" i="5"/>
  <c r="F258" i="5"/>
  <c r="G257" i="5"/>
  <c r="F257" i="5"/>
  <c r="F256" i="5"/>
  <c r="G255" i="5"/>
  <c r="F255" i="5"/>
  <c r="G254" i="5"/>
  <c r="F254" i="5"/>
  <c r="F253" i="5"/>
  <c r="G252" i="5"/>
  <c r="F252" i="5"/>
  <c r="G251" i="5"/>
  <c r="F251" i="5"/>
  <c r="G250" i="5"/>
  <c r="F250" i="5"/>
  <c r="G249" i="5"/>
  <c r="F249" i="5"/>
  <c r="G248" i="5"/>
  <c r="F248" i="5"/>
  <c r="G247" i="5"/>
  <c r="F247" i="5"/>
  <c r="G246" i="5"/>
  <c r="F246" i="5"/>
  <c r="G245" i="5"/>
  <c r="F245" i="5"/>
  <c r="G244" i="5"/>
  <c r="F244" i="5"/>
  <c r="G243" i="5"/>
  <c r="F243" i="5"/>
  <c r="G242" i="5"/>
  <c r="F242" i="5"/>
  <c r="G241" i="5"/>
  <c r="F241" i="5"/>
  <c r="G240" i="5"/>
  <c r="F240" i="5"/>
  <c r="G239" i="5"/>
  <c r="F239" i="5"/>
  <c r="G238" i="5"/>
  <c r="F238" i="5"/>
  <c r="G237" i="5"/>
  <c r="F237" i="5"/>
  <c r="G236" i="5"/>
  <c r="F236" i="5"/>
  <c r="G235" i="5"/>
  <c r="F235" i="5"/>
  <c r="G234" i="5"/>
  <c r="F234" i="5"/>
  <c r="G233" i="5"/>
  <c r="F233" i="5"/>
  <c r="G232" i="5"/>
  <c r="F232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9" i="5"/>
  <c r="F219" i="5"/>
  <c r="G218" i="5"/>
  <c r="F218" i="5"/>
  <c r="G217" i="5"/>
  <c r="F217" i="5"/>
  <c r="G216" i="5"/>
  <c r="F216" i="5"/>
  <c r="G215" i="5"/>
  <c r="F215" i="5"/>
  <c r="G214" i="5"/>
  <c r="F214" i="5"/>
  <c r="G213" i="5"/>
  <c r="F213" i="5"/>
  <c r="G212" i="5"/>
  <c r="F212" i="5"/>
  <c r="G211" i="5"/>
  <c r="F211" i="5"/>
  <c r="G210" i="5"/>
  <c r="F210" i="5"/>
  <c r="G209" i="5"/>
  <c r="F209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G192" i="5"/>
  <c r="F192" i="5"/>
  <c r="G191" i="5"/>
  <c r="F191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F184" i="5"/>
  <c r="G183" i="5"/>
  <c r="F183" i="5"/>
  <c r="G182" i="5"/>
  <c r="F182" i="5"/>
  <c r="G181" i="5"/>
  <c r="F181" i="5"/>
  <c r="G180" i="5"/>
  <c r="F180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F126" i="5"/>
  <c r="G125" i="5"/>
  <c r="F125" i="5"/>
  <c r="G124" i="5"/>
  <c r="F124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F69" i="5"/>
  <c r="G68" i="5"/>
  <c r="F68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E46" i="5"/>
  <c r="G46" i="5" s="1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E56" i="4"/>
  <c r="F56" i="4" s="1"/>
  <c r="E55" i="4"/>
  <c r="F55" i="4" s="1"/>
  <c r="G54" i="4"/>
  <c r="I54" i="4" s="1"/>
  <c r="F54" i="4"/>
  <c r="H54" i="4" s="1"/>
  <c r="E54" i="4"/>
  <c r="G53" i="4"/>
  <c r="F53" i="4"/>
  <c r="G52" i="4"/>
  <c r="F52" i="4"/>
  <c r="G51" i="4"/>
  <c r="F51" i="4"/>
  <c r="G50" i="4"/>
  <c r="F50" i="4"/>
  <c r="F49" i="4"/>
  <c r="E49" i="4"/>
  <c r="G49" i="4" s="1"/>
  <c r="G48" i="4"/>
  <c r="F48" i="4"/>
  <c r="G47" i="4"/>
  <c r="E47" i="4"/>
  <c r="F47" i="4" s="1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E36" i="4"/>
  <c r="E35" i="4"/>
  <c r="G35" i="4" s="1"/>
  <c r="G34" i="4"/>
  <c r="F34" i="4"/>
  <c r="F33" i="4"/>
  <c r="E33" i="4"/>
  <c r="G33" i="4" s="1"/>
  <c r="F32" i="4"/>
  <c r="E32" i="4"/>
  <c r="G32" i="4" s="1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E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E12" i="4"/>
  <c r="F11" i="4"/>
  <c r="E11" i="4"/>
  <c r="G11" i="4" s="1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D521" i="3"/>
  <c r="D520" i="3"/>
  <c r="D515" i="3"/>
  <c r="E49" i="3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G700" i="1"/>
  <c r="G699" i="1"/>
  <c r="G698" i="1"/>
  <c r="G697" i="1"/>
  <c r="G696" i="1"/>
  <c r="G695" i="1"/>
  <c r="G693" i="1"/>
  <c r="G692" i="1"/>
  <c r="G691" i="1"/>
  <c r="G690" i="1"/>
  <c r="G684" i="1"/>
  <c r="E684" i="1"/>
  <c r="E689" i="1" s="1"/>
  <c r="G678" i="1"/>
  <c r="E678" i="1"/>
  <c r="E682" i="1" s="1"/>
  <c r="G672" i="1"/>
  <c r="G666" i="1"/>
  <c r="E666" i="1"/>
  <c r="E671" i="1" s="1"/>
  <c r="G664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599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09" i="1"/>
  <c r="G508" i="1"/>
  <c r="G507" i="1"/>
  <c r="G506" i="1"/>
  <c r="G505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5" i="1"/>
  <c r="G483" i="1"/>
  <c r="G481" i="1"/>
  <c r="G480" i="1"/>
  <c r="G479" i="1"/>
  <c r="G478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45" i="1"/>
  <c r="G312" i="1"/>
  <c r="G310" i="1"/>
  <c r="G309" i="1"/>
  <c r="G308" i="1"/>
  <c r="G307" i="1"/>
  <c r="G306" i="1"/>
  <c r="G305" i="1"/>
  <c r="G304" i="1"/>
  <c r="G303" i="1"/>
  <c r="G302" i="1"/>
  <c r="G301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107" i="1"/>
  <c r="G105" i="1"/>
  <c r="G104" i="1"/>
  <c r="G103" i="1"/>
  <c r="G97" i="1"/>
  <c r="G95" i="1"/>
  <c r="G81" i="1"/>
  <c r="G80" i="1"/>
  <c r="G79" i="1"/>
  <c r="G78" i="1"/>
  <c r="G77" i="1"/>
  <c r="G76" i="1"/>
  <c r="G75" i="1"/>
  <c r="G74" i="1"/>
  <c r="G65" i="1"/>
  <c r="G64" i="1"/>
  <c r="G63" i="1"/>
  <c r="G62" i="1"/>
  <c r="G37" i="1"/>
  <c r="G694" i="1" l="1"/>
  <c r="E667" i="1"/>
  <c r="E669" i="1"/>
  <c r="E672" i="1"/>
  <c r="E677" i="1" s="1"/>
  <c r="E686" i="1"/>
  <c r="E680" i="1"/>
  <c r="E687" i="1"/>
  <c r="E683" i="1"/>
  <c r="E668" i="1"/>
  <c r="F35" i="4"/>
  <c r="G55" i="4"/>
  <c r="F454" i="5"/>
  <c r="F464" i="5"/>
  <c r="F467" i="5"/>
  <c r="F451" i="6"/>
  <c r="F454" i="6"/>
  <c r="F461" i="6"/>
  <c r="F464" i="6"/>
  <c r="E670" i="1"/>
  <c r="E679" i="1"/>
  <c r="E681" i="1"/>
  <c r="E685" i="1"/>
  <c r="F46" i="5"/>
  <c r="E688" i="1"/>
  <c r="F453" i="5"/>
  <c r="F456" i="5"/>
  <c r="F466" i="5"/>
  <c r="F453" i="6"/>
  <c r="F463" i="6"/>
  <c r="E675" i="1" l="1"/>
  <c r="E674" i="1"/>
  <c r="E676" i="1"/>
  <c r="E6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7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======
ID#AAABlByaAYQ
PB Office    (2025-07-18 18:47:21)
@online@pinecrestbakery.com  chequea nuevos sabores
_Assigned to online@pinecrestbakery.com_</t>
        </r>
      </text>
    </comment>
    <comment ref="B268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ID#AAABrQQDaN0
PB Office    (2025-09-17 23:33:47)
@accounting@pinecrestbakeryonline.com @online@pinecrestbakery.com Los voy a poner aca, si hace falta los cambiamos.
_Assigned to accounting@pinecrestbakeryonline.com_</t>
        </r>
      </text>
    </comment>
    <comment ref="B394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======
ID#AAABmOea_ow
PB Office    (2025-06-19 21:18:16)
Que es este articulo?</t>
        </r>
      </text>
    </comment>
    <comment ref="C410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======
ID#AAABhYyMBfw
PB Office    (2025-04-01 13:54:41)
Eliminar de POS</t>
        </r>
      </text>
    </comment>
    <comment ref="C504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======
ID#AAABYgEYKBk
PB Office    (2025-01-08 17:02:39)
@online@pinecrestbakery.com Dani, agregamos este producto. Fijate si tener que agregarlo o actualizar en tus plataformas. Gracias.
_Assigned to online@pinecrestbakery.com_</t>
        </r>
      </text>
    </comment>
    <comment ref="C527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======
ID#AAABnjOTcnw
PB Office    (2025-07-21 19:40:08)
@online@pinecrestbakery.com  Agregar.
_Assigned to online@pinecrestbakery.com_</t>
        </r>
      </text>
    </comment>
    <comment ref="B603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ID#AAABrQQDaNw
PB Office    (2025-09-17 23:33:03)
Hola @online@pinecrestbakery.com Y @accounting@pinecrestbakeryonline.com Actualice Holiday Menu con el email de Cito. Aqui no veo los dulces de Copa, los pongo en que ctegoria... Desserts?
_Assigned to online@pinecrestbakery.com_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Qrnexu4aw/nJlmpdk28My6mOIrg=="/>
    </ext>
  </extLst>
</comments>
</file>

<file path=xl/sharedStrings.xml><?xml version="1.0" encoding="utf-8"?>
<sst xmlns="http://schemas.openxmlformats.org/spreadsheetml/2006/main" count="4313" uniqueCount="959">
  <si>
    <t>Tier 1 Prices 2025 Cash</t>
  </si>
  <si>
    <t>Tier 2 Prices 2025 Cash</t>
  </si>
  <si>
    <t>Name</t>
  </si>
  <si>
    <t>Modifiers</t>
  </si>
  <si>
    <t>Delivery Tier 1 (25%)</t>
  </si>
  <si>
    <t>Delivery Tier 2 (25%)</t>
  </si>
  <si>
    <t>Pastelitos</t>
  </si>
  <si>
    <t>Pastelito | Cuban Classics</t>
  </si>
  <si>
    <t>Guava</t>
  </si>
  <si>
    <t>Cream Cheese</t>
  </si>
  <si>
    <t>Guava Cheese</t>
  </si>
  <si>
    <t>Coconut</t>
  </si>
  <si>
    <t>Mango</t>
  </si>
  <si>
    <t>Pina</t>
  </si>
  <si>
    <t>Coconut Cheese</t>
  </si>
  <si>
    <t>Pineapple</t>
  </si>
  <si>
    <t>Beef</t>
  </si>
  <si>
    <t>Chorizo</t>
  </si>
  <si>
    <t>Chicken</t>
  </si>
  <si>
    <t>Ham</t>
  </si>
  <si>
    <t>Ham Cheese</t>
  </si>
  <si>
    <t>Pastelito | Pizza</t>
  </si>
  <si>
    <t>Pastelito | Preparado</t>
  </si>
  <si>
    <t>Preparado</t>
  </si>
  <si>
    <t>Seasonal</t>
  </si>
  <si>
    <t>Nutella *Seasonal</t>
  </si>
  <si>
    <t>Pistacho *Seasonal</t>
  </si>
  <si>
    <t>Empanadas</t>
  </si>
  <si>
    <t>Empanada | Baked</t>
  </si>
  <si>
    <t xml:space="preserve">Ham Cheese Chorizo
</t>
  </si>
  <si>
    <t>Spinach Cheese</t>
  </si>
  <si>
    <t>Empanada | Fried</t>
  </si>
  <si>
    <t>Ham Cheese Chorizo</t>
  </si>
  <si>
    <t>Ropa Vieja</t>
  </si>
  <si>
    <t>Fish</t>
  </si>
  <si>
    <t>Empanada | Colombiana</t>
  </si>
  <si>
    <t>Cheese</t>
  </si>
  <si>
    <t>Meat</t>
  </si>
  <si>
    <t>Empanada | Camagueyana</t>
  </si>
  <si>
    <t>Gallega Spanish bread empanada pie with ham or chorizo</t>
  </si>
  <si>
    <t>Slice</t>
  </si>
  <si>
    <t>Pie</t>
  </si>
  <si>
    <t>Croqueta</t>
  </si>
  <si>
    <t>Croqueta | Traditional</t>
  </si>
  <si>
    <t xml:space="preserve">Chorizo
</t>
  </si>
  <si>
    <t>Bacalao</t>
  </si>
  <si>
    <t>Spinach</t>
  </si>
  <si>
    <t>Croqueta | Casera Homemade</t>
  </si>
  <si>
    <t>Papa Rellenas</t>
  </si>
  <si>
    <t>Rellena | Papa Rellena</t>
  </si>
  <si>
    <t>Mini</t>
  </si>
  <si>
    <t>Grande</t>
  </si>
  <si>
    <t>Rellena | Yuca Rellena</t>
  </si>
  <si>
    <t>International Delicacies</t>
  </si>
  <si>
    <t>Tequeño</t>
  </si>
  <si>
    <t xml:space="preserve">Guava Cheese
</t>
  </si>
  <si>
    <t>Cachito</t>
  </si>
  <si>
    <t>Ham &amp; Cheese</t>
  </si>
  <si>
    <t>Pan de Bono</t>
  </si>
  <si>
    <t xml:space="preserve">Chicken Cordon Bleu Nuggets </t>
  </si>
  <si>
    <t>Churros</t>
  </si>
  <si>
    <t>Facturas</t>
  </si>
  <si>
    <t>Unidad</t>
  </si>
  <si>
    <t>Membrillo</t>
  </si>
  <si>
    <t>Dulce de leche</t>
  </si>
  <si>
    <t>Pistacho</t>
  </si>
  <si>
    <t>Docena</t>
  </si>
  <si>
    <t xml:space="preserve">La Dozena
</t>
  </si>
  <si>
    <t>La Dozena: Pastelitos</t>
  </si>
  <si>
    <t>Docena Flavor</t>
  </si>
  <si>
    <t>Coco y Queso</t>
  </si>
  <si>
    <t>Cangrejito de Jamon</t>
  </si>
  <si>
    <t>Espinaca</t>
  </si>
  <si>
    <t>Cangrejito de Chorizo</t>
  </si>
  <si>
    <t>Coco</t>
  </si>
  <si>
    <t>La Dozena: Empanadas</t>
  </si>
  <si>
    <t>Baked</t>
  </si>
  <si>
    <t>Fried</t>
  </si>
  <si>
    <t xml:space="preserve">La Dozena: Croquetas
</t>
  </si>
  <si>
    <t>Traditional</t>
  </si>
  <si>
    <t>Casera Homemade</t>
  </si>
  <si>
    <t>La Dozena: Tequeños</t>
  </si>
  <si>
    <t>Tequenos de queso</t>
  </si>
  <si>
    <t>Tequenos de Guava y Queso</t>
  </si>
  <si>
    <t>La Dozena: Pizza Pastel</t>
  </si>
  <si>
    <t>Pizza Pastel</t>
  </si>
  <si>
    <t>La Dozena: Pastel Preparado</t>
  </si>
  <si>
    <t>Pastel Preparado</t>
  </si>
  <si>
    <t>Tostada</t>
  </si>
  <si>
    <t>Tostada Mantequilla</t>
  </si>
  <si>
    <t>Tostada Jamón Queso</t>
  </si>
  <si>
    <t>Tostada Queso</t>
  </si>
  <si>
    <r>
      <rPr>
        <strike/>
        <sz val="10"/>
        <color theme="1"/>
        <rFont val="Arial"/>
        <family val="2"/>
      </rPr>
      <t>Swiss</t>
    </r>
    <r>
      <rPr>
        <sz val="10"/>
        <color theme="1"/>
        <rFont val="Arial"/>
        <family val="2"/>
      </rPr>
      <t xml:space="preserve"> cheese</t>
    </r>
  </si>
  <si>
    <t>Cream cheese</t>
  </si>
  <si>
    <t>Breakfast Combos</t>
  </si>
  <si>
    <t>2 Huevos, Jamón o Tocino, Papas Fritas, Tostada, Café con Leche</t>
  </si>
  <si>
    <t>2 Huevos, Jamón o Tocino, Papas Fritas</t>
  </si>
  <si>
    <t>2 Huevos, Jamón o Tocino</t>
  </si>
  <si>
    <t>Combos</t>
  </si>
  <si>
    <t>Combos - incluide Soda Lata, PB Water, Cafe con leche small, Cafe Americano small, Cortadito, Colada.</t>
  </si>
  <si>
    <t xml:space="preserve">Pastelito </t>
  </si>
  <si>
    <t>Small Café</t>
  </si>
  <si>
    <t>Papas Fritas or Chips</t>
  </si>
  <si>
    <t>Drink</t>
  </si>
  <si>
    <t>Breakfast Selections</t>
  </si>
  <si>
    <t>Egg whites</t>
  </si>
  <si>
    <t>Extra</t>
  </si>
  <si>
    <t>Fries (Papas fritas)</t>
  </si>
  <si>
    <t>Family Breakfast</t>
  </si>
  <si>
    <t>12 eggs, 12 bacon, 3 sausage patties, 3 ham slices, 3 tostadas, 3 croquetas (no substitutions)</t>
  </si>
  <si>
    <t>Pan con Tortilla</t>
  </si>
  <si>
    <t>Fried egg sandwich, ham, swiss cheese, onion</t>
  </si>
  <si>
    <t>Pan Cubano con Mantequilla</t>
  </si>
  <si>
    <t>Roll | Cubanito con Mantequilla</t>
  </si>
  <si>
    <t xml:space="preserve">Pan de Bono Special </t>
  </si>
  <si>
    <t>Colombian cheese bread, fried egg, ham, cheese</t>
  </si>
  <si>
    <t>Sunshine Croissant</t>
  </si>
  <si>
    <t>Two breakfast sausages, 2 fried eggs, american cheese</t>
  </si>
  <si>
    <t>Sunshine Wrap</t>
  </si>
  <si>
    <t>Breakfast sausage, hard fried egg, american cheese</t>
  </si>
  <si>
    <t xml:space="preserve">Tortilla Española </t>
  </si>
  <si>
    <t>Family Size</t>
  </si>
  <si>
    <t>Cafe Cubano</t>
  </si>
  <si>
    <t>Coffee To-Go Carafe 96 oz. | 12 cups</t>
  </si>
  <si>
    <t>American Coffee</t>
  </si>
  <si>
    <t>Café con Leche</t>
  </si>
  <si>
    <t>Colada</t>
  </si>
  <si>
    <t>Hot Chocolate</t>
  </si>
  <si>
    <t xml:space="preserve">Americano 
</t>
  </si>
  <si>
    <t>Sm</t>
  </si>
  <si>
    <t>Med</t>
  </si>
  <si>
    <t>Lg</t>
  </si>
  <si>
    <t>Cappuccino</t>
  </si>
  <si>
    <t>Café Mocha</t>
  </si>
  <si>
    <t>Cortadito</t>
  </si>
  <si>
    <t>Reg</t>
  </si>
  <si>
    <t>Leche Evaporada</t>
  </si>
  <si>
    <t>Cafecito</t>
  </si>
  <si>
    <t>Shot</t>
  </si>
  <si>
    <t>Colada | Café Cubano</t>
  </si>
  <si>
    <t>(1/2)</t>
  </si>
  <si>
    <t>Colada | Cafe Cubano Descafeinada</t>
  </si>
  <si>
    <t>Chocolate Caliente</t>
  </si>
  <si>
    <t>Té Caliente</t>
  </si>
  <si>
    <t>Iced Coffee</t>
  </si>
  <si>
    <t>Med 12 oz</t>
  </si>
  <si>
    <t>Lg 16 oz</t>
  </si>
  <si>
    <t>Iced Cafe con Leche</t>
  </si>
  <si>
    <t>Caramel Crunch</t>
  </si>
  <si>
    <t>16 oz</t>
  </si>
  <si>
    <t>Caramel Frozen</t>
  </si>
  <si>
    <t>16 oz.</t>
  </si>
  <si>
    <t>Moca Frozen</t>
  </si>
  <si>
    <t>FREE cafecito shot</t>
  </si>
  <si>
    <t>3/4 oz</t>
  </si>
  <si>
    <t>-</t>
  </si>
  <si>
    <t>Traditional Sandwiches</t>
  </si>
  <si>
    <t>Cubano</t>
  </si>
  <si>
    <t>Ham, deli pork, Swiss, pickle, mayo, mustard</t>
  </si>
  <si>
    <t>Media Noche</t>
  </si>
  <si>
    <t>Croqueta Preparada</t>
  </si>
  <si>
    <t xml:space="preserve">Ham, Swiss, croqueta, pickle, mayo, mustard
</t>
  </si>
  <si>
    <t>Croissant Sandwich</t>
  </si>
  <si>
    <t xml:space="preserve">Ham, Swiss
</t>
  </si>
  <si>
    <t>Pan con Bistec</t>
  </si>
  <si>
    <t xml:space="preserve">Steak, onion, lettuce, tomato, potato sticks
</t>
  </si>
  <si>
    <t xml:space="preserve">Al Caballo | Steak and Eggs </t>
  </si>
  <si>
    <t>A La Juliana | Ham and Cheese</t>
  </si>
  <si>
    <t>Pan con Lechon</t>
  </si>
  <si>
    <t>Mojo pulled pork, grilled onion</t>
  </si>
  <si>
    <t>Sandwich de Pollo</t>
  </si>
  <si>
    <t>Chicken, onion, lettuce, tomato, potato sticks</t>
  </si>
  <si>
    <t>Sandwich de Pavo</t>
  </si>
  <si>
    <t>Turkey, Swiss, lettuce, tomato</t>
  </si>
  <si>
    <t>Sandwich de Tuna</t>
  </si>
  <si>
    <t>Tuna salad, lettuce, tomato</t>
  </si>
  <si>
    <t>Sandwich de Queso</t>
  </si>
  <si>
    <t>Cheese bread, white cheese, and ham</t>
  </si>
  <si>
    <t>Club</t>
  </si>
  <si>
    <t xml:space="preserve">Ham, bacon, Swiss, lettuce, tomato
</t>
  </si>
  <si>
    <t>Elena Ruz</t>
  </si>
  <si>
    <t>Turkey, cream cheese, strawberry jelly</t>
  </si>
  <si>
    <t>Frita Cubana</t>
  </si>
  <si>
    <t>Chorizo burger, onion, ketchup, potato sticks</t>
  </si>
  <si>
    <t>Choripan</t>
  </si>
  <si>
    <t>Chorizo, grilled onion</t>
  </si>
  <si>
    <t>Gran Bocadito</t>
  </si>
  <si>
    <t>Homemade ham spread</t>
  </si>
  <si>
    <t>Montecristo</t>
  </si>
  <si>
    <t>Turkey, ham, bacon, Swiss, French toast, powdered sugar</t>
  </si>
  <si>
    <t>Italiano Regular</t>
  </si>
  <si>
    <t>Ham, salami, cantimpalo, Swiss</t>
  </si>
  <si>
    <t>Multigrain Turkey</t>
  </si>
  <si>
    <t>Turkey, cheese, lettuce &amp; tomato</t>
  </si>
  <si>
    <t>Mini Cubano</t>
  </si>
  <si>
    <t>Mini Sandwich</t>
  </si>
  <si>
    <t>Ham, Swiss, pickle, mayo, mustard</t>
  </si>
  <si>
    <t>Guayaba Frita</t>
  </si>
  <si>
    <t>Popeye</t>
  </si>
  <si>
    <t>El Jefe</t>
  </si>
  <si>
    <t>Specialty Sandwiches</t>
  </si>
  <si>
    <t>Churrasco Special</t>
  </si>
  <si>
    <t>Churrasco steak, onion, tomato, chimichurri</t>
  </si>
  <si>
    <t>Grilled Chicken Special</t>
  </si>
  <si>
    <t>Chicken, mozzarella, onion, lettuce, tomato, potato sticks</t>
  </si>
  <si>
    <t>Super Cubano</t>
  </si>
  <si>
    <t>Ham, deli pork, Swiss, tomato, pickle, mayo, mustard</t>
  </si>
  <si>
    <t>Super Lechon</t>
  </si>
  <si>
    <t>Mojo pulled pork, Swiss, onion, tomato, potato sticks</t>
  </si>
  <si>
    <t>BLT Turkey Melt</t>
  </si>
  <si>
    <t>Turkey, bacon, provolone, onion, lettuce, tomato</t>
  </si>
  <si>
    <t>Tuna Melt</t>
  </si>
  <si>
    <t>Homemade tuna salad, mozzarella, onion, lettuce, tomato</t>
  </si>
  <si>
    <t>Philly Cheesesteak</t>
  </si>
  <si>
    <t>Steak, provolone, onion, green pepper, red pepper</t>
  </si>
  <si>
    <t>Philly Chicken</t>
  </si>
  <si>
    <t>Chicken, provolone, onion, green pepper, red pepper</t>
  </si>
  <si>
    <t>Chicken Caesar</t>
  </si>
  <si>
    <t>Chicken, mozzarella, lettuce, tomato, Ceasar dressing</t>
  </si>
  <si>
    <t>Qualitá Italiano</t>
  </si>
  <si>
    <t>Ham, prosciutto, salami, cantimpalo, mozzarella, lettuce, tomato, pesto</t>
  </si>
  <si>
    <t>Croissant Ensalada de pollo</t>
  </si>
  <si>
    <t>Chicken salad, Tomato, lettuce</t>
  </si>
  <si>
    <t>Havanero Wrap</t>
  </si>
  <si>
    <t>Chicken, plantains, mozzarella, onion, red pepper, lettuce</t>
  </si>
  <si>
    <t>Little Havana Bowl</t>
  </si>
  <si>
    <t>Remove - PB "Little Havana" Bowl</t>
  </si>
  <si>
    <t>No Tomato</t>
  </si>
  <si>
    <t>No Onion</t>
  </si>
  <si>
    <t>No Lettuce</t>
  </si>
  <si>
    <t>No Rice</t>
  </si>
  <si>
    <t>No Black Beans</t>
  </si>
  <si>
    <t>No Maduros</t>
  </si>
  <si>
    <t>Choice Protien</t>
  </si>
  <si>
    <t>Churrasco</t>
  </si>
  <si>
    <t>Pork</t>
  </si>
  <si>
    <t>Bistec</t>
  </si>
  <si>
    <t>Turkey</t>
  </si>
  <si>
    <t>Tuna</t>
  </si>
  <si>
    <t>No Protein</t>
  </si>
  <si>
    <t>Choice Dressing</t>
  </si>
  <si>
    <t>Cilantro</t>
  </si>
  <si>
    <t>Caesar</t>
  </si>
  <si>
    <t>House Vinegar</t>
  </si>
  <si>
    <t>Oil &amp; Balsamic</t>
  </si>
  <si>
    <t>No Dressing</t>
  </si>
  <si>
    <t>Extra Toppings - PB "Little Havana" Bowl</t>
  </si>
  <si>
    <t>Shredded Mozzarella</t>
  </si>
  <si>
    <t>Swiss Cheese</t>
  </si>
  <si>
    <t>Provolone Cheese</t>
  </si>
  <si>
    <t>Cheddar Cheese</t>
  </si>
  <si>
    <t>Maduros</t>
  </si>
  <si>
    <t>Black Beans</t>
  </si>
  <si>
    <t>Desserts</t>
  </si>
  <si>
    <t>Marquesitas</t>
  </si>
  <si>
    <t>Carrot</t>
  </si>
  <si>
    <t>Red Velvet</t>
  </si>
  <si>
    <t>Tiramisu</t>
  </si>
  <si>
    <t>Chocolate Cake</t>
  </si>
  <si>
    <t>Chocolate Mousse</t>
  </si>
  <si>
    <t>Opera</t>
  </si>
  <si>
    <t>Capuchino Cubano</t>
  </si>
  <si>
    <t>Dulce de Leche</t>
  </si>
  <si>
    <t>Strawberry</t>
  </si>
  <si>
    <t>Charlotte</t>
  </si>
  <si>
    <t>Limon</t>
  </si>
  <si>
    <t>Raspberry</t>
  </si>
  <si>
    <t>Oreo</t>
  </si>
  <si>
    <t>Especial Holiday</t>
  </si>
  <si>
    <t>Cake Slices</t>
  </si>
  <si>
    <t>Merengue Vanilla</t>
  </si>
  <si>
    <t>Merengue Chocolate</t>
  </si>
  <si>
    <t>Rum Cake Vanilla</t>
  </si>
  <si>
    <t>Rum Cake Chocolate</t>
  </si>
  <si>
    <t>Pineapple UpsideDown</t>
  </si>
  <si>
    <t>Cheesecake Slices</t>
  </si>
  <si>
    <t>Flan Cheesecake</t>
  </si>
  <si>
    <t xml:space="preserve">Strawberry Cheesecake
</t>
  </si>
  <si>
    <t>Oreo Cheesecake</t>
  </si>
  <si>
    <t>Pistacho Cheesecake</t>
  </si>
  <si>
    <t>Señoritas</t>
  </si>
  <si>
    <t>Chocolate</t>
  </si>
  <si>
    <t>White Chocolate</t>
  </si>
  <si>
    <t>Powdered Sugar</t>
  </si>
  <si>
    <t>Merengue</t>
  </si>
  <si>
    <t>Eclairs</t>
  </si>
  <si>
    <t>Ferrero</t>
  </si>
  <si>
    <t>Dulce Copas</t>
  </si>
  <si>
    <t>Flan Regular</t>
  </si>
  <si>
    <t>Flan de Queso</t>
  </si>
  <si>
    <t>Flan Pumpkin *Seasonal</t>
  </si>
  <si>
    <t xml:space="preserve">Arroz con Leche 
</t>
  </si>
  <si>
    <t xml:space="preserve">Tres Leches 
</t>
  </si>
  <si>
    <t>Cuatro Leches</t>
  </si>
  <si>
    <t xml:space="preserve">Dulce Leche </t>
  </si>
  <si>
    <t xml:space="preserve">Crema Catalana 
</t>
  </si>
  <si>
    <t>Mojados</t>
  </si>
  <si>
    <t>Buñuelo</t>
  </si>
  <si>
    <t>Torreja</t>
  </si>
  <si>
    <t>Cabezote</t>
  </si>
  <si>
    <t>Panetela Borracha</t>
  </si>
  <si>
    <t>Rollitos Jelly Roll</t>
  </si>
  <si>
    <t>Tocinillo Slice</t>
  </si>
  <si>
    <t>Pudin</t>
  </si>
  <si>
    <t>Pudin de Pan</t>
  </si>
  <si>
    <t>Pudin Diplomatico Frutas</t>
  </si>
  <si>
    <t>Chocolate Strawberry</t>
  </si>
  <si>
    <t>Small</t>
  </si>
  <si>
    <t>Large</t>
  </si>
  <si>
    <t>Cake Pops</t>
  </si>
  <si>
    <t>Vanilla</t>
  </si>
  <si>
    <t>Cupcakes</t>
  </si>
  <si>
    <t>Cupcakes 6-pack</t>
  </si>
  <si>
    <t>Mini Mousses</t>
  </si>
  <si>
    <t>Mango Chocolate</t>
  </si>
  <si>
    <t>Mango Guava</t>
  </si>
  <si>
    <t>Maracuya Passion Fruit</t>
  </si>
  <si>
    <t>Chaja Peach Merengue</t>
  </si>
  <si>
    <t>Blackberry</t>
  </si>
  <si>
    <t>Dulce de Leche Almond</t>
  </si>
  <si>
    <t>Dulces en Copas - (12 pack)</t>
  </si>
  <si>
    <t>Maracuya</t>
  </si>
  <si>
    <t>Sin decoracion</t>
  </si>
  <si>
    <t>Tres Leches</t>
  </si>
  <si>
    <t>Con decoracion</t>
  </si>
  <si>
    <t xml:space="preserve">Arroz con Leche </t>
  </si>
  <si>
    <t>Tartaletas</t>
  </si>
  <si>
    <t>Fruit Tart</t>
  </si>
  <si>
    <t>Key Lime Tart</t>
  </si>
  <si>
    <t>Apple Pie</t>
  </si>
  <si>
    <t>Guava Pie</t>
  </si>
  <si>
    <t>Coconut Pie</t>
  </si>
  <si>
    <t>Mango Pie</t>
  </si>
  <si>
    <t>Piña Pie</t>
  </si>
  <si>
    <t>Pecan Pie</t>
  </si>
  <si>
    <t>Pumpkin Pie</t>
  </si>
  <si>
    <t>KeyLime Pie</t>
  </si>
  <si>
    <t>Family Desserts</t>
  </si>
  <si>
    <t>Flan Familiar Regular</t>
  </si>
  <si>
    <t xml:space="preserve">Flan Familiar de Queso </t>
  </si>
  <si>
    <t xml:space="preserve">Flan Familiar Pumpkin </t>
  </si>
  <si>
    <t>Flan 15 pp</t>
  </si>
  <si>
    <t>Arroz con Leche Familiar</t>
  </si>
  <si>
    <t>Tres Leches Familiar</t>
  </si>
  <si>
    <t>Tres Leches Nutella</t>
  </si>
  <si>
    <t>Cuatro Leches Familiar</t>
  </si>
  <si>
    <t>Pudin de Pan Familiar</t>
  </si>
  <si>
    <t>Buñuelos Familiar</t>
  </si>
  <si>
    <t>Napolitano Familiar</t>
  </si>
  <si>
    <t>Doboh</t>
  </si>
  <si>
    <t>Tatianof</t>
  </si>
  <si>
    <t>Brazo Gitano Capuccino</t>
  </si>
  <si>
    <t>Brazo Gitano Dulce de Leche</t>
  </si>
  <si>
    <t>Brazo Gitano Chocolate</t>
  </si>
  <si>
    <t>Brazo Gitano Red Velvet</t>
  </si>
  <si>
    <t>Cake tocinillo</t>
  </si>
  <si>
    <t xml:space="preserve">Breads &amp; Bag Items
</t>
  </si>
  <si>
    <t>Cuban Bread</t>
  </si>
  <si>
    <t>Pan Cubano</t>
  </si>
  <si>
    <t>Roll | Cubanito</t>
  </si>
  <si>
    <t>Patin | Cubanito</t>
  </si>
  <si>
    <t>Cuban Crackers | Galletas</t>
  </si>
  <si>
    <t>Regular</t>
  </si>
  <si>
    <t>Wheat</t>
  </si>
  <si>
    <t>Palitroques</t>
  </si>
  <si>
    <t>Pan Guava Ham Olive *Seasonal</t>
  </si>
  <si>
    <t>Full</t>
  </si>
  <si>
    <t>Single Bread</t>
  </si>
  <si>
    <t>Pan Frances</t>
  </si>
  <si>
    <t>Ciabatta XL</t>
  </si>
  <si>
    <t>Croissant</t>
  </si>
  <si>
    <t>Cornbread *Seasonal</t>
  </si>
  <si>
    <t>Pan de Gloria</t>
  </si>
  <si>
    <t>Bagged Bread</t>
  </si>
  <si>
    <t>Media Noche 4-Pack</t>
  </si>
  <si>
    <t>Rolls | Bolito 6-Pack</t>
  </si>
  <si>
    <t>Baguette Rustico 4-Pack</t>
  </si>
  <si>
    <t>Ciabatta 6 Pack</t>
  </si>
  <si>
    <t>Multigrain 4 Pack</t>
  </si>
  <si>
    <t>Cheese Bread 4 Pack</t>
  </si>
  <si>
    <t>Pan de Gloria 6 Pack</t>
  </si>
  <si>
    <t>Bag Items</t>
  </si>
  <si>
    <t>Bizcochos</t>
  </si>
  <si>
    <t>Rusk Esponru Licor</t>
  </si>
  <si>
    <t>Pound Cake</t>
  </si>
  <si>
    <t>Pound Cake Fruit Jelly</t>
  </si>
  <si>
    <t>Cookies San Francisco</t>
  </si>
  <si>
    <t>Cookies Torticas</t>
  </si>
  <si>
    <t>Dry Case</t>
  </si>
  <si>
    <t>Masa Real</t>
  </si>
  <si>
    <t>Single</t>
  </si>
  <si>
    <t>Pack</t>
  </si>
  <si>
    <t>Cookies Sugar</t>
  </si>
  <si>
    <t>Box</t>
  </si>
  <si>
    <t>Cookies Fondant</t>
  </si>
  <si>
    <t>Muffins</t>
  </si>
  <si>
    <t>Coquito Prieto</t>
  </si>
  <si>
    <t>Alfajor Sm</t>
  </si>
  <si>
    <t>Alfajor | Lg</t>
  </si>
  <si>
    <t>Menesier | Guava</t>
  </si>
  <si>
    <t>Palmeras | Sugar</t>
  </si>
  <si>
    <t>Facturas | Guava, Dulce de Leche</t>
  </si>
  <si>
    <t>Drinks</t>
  </si>
  <si>
    <t>Soda Can</t>
  </si>
  <si>
    <t>Coke</t>
  </si>
  <si>
    <t>Diet Coke</t>
  </si>
  <si>
    <t>Coke Zero</t>
  </si>
  <si>
    <t>Sprite</t>
  </si>
  <si>
    <t>Sprite Zero</t>
  </si>
  <si>
    <t>Fanta</t>
  </si>
  <si>
    <t>Jupiña</t>
  </si>
  <si>
    <t>Jupiña Diet</t>
  </si>
  <si>
    <t>Materva</t>
  </si>
  <si>
    <t>Diet Materva</t>
  </si>
  <si>
    <t>Iron Beer</t>
  </si>
  <si>
    <t>Soda Bottle</t>
  </si>
  <si>
    <t>Coca Cola 1 lt (R14)</t>
  </si>
  <si>
    <t>Soda Glass Bottle</t>
  </si>
  <si>
    <t>Malta Hatuey</t>
  </si>
  <si>
    <t>Fresh Orange Juice</t>
  </si>
  <si>
    <t>Md</t>
  </si>
  <si>
    <t>To-Go Carafe</t>
  </si>
  <si>
    <t>Fountain Fruit Juice - Md</t>
  </si>
  <si>
    <t>Papaya</t>
  </si>
  <si>
    <t>Guanabana Soursop</t>
  </si>
  <si>
    <t>Fountain Fruit Juice - Lg</t>
  </si>
  <si>
    <t>Fruit Juice Bottle</t>
  </si>
  <si>
    <t>Minute Maid Juice</t>
  </si>
  <si>
    <t>Orange Juice</t>
  </si>
  <si>
    <t>Apple Juice</t>
  </si>
  <si>
    <t>Lemonade</t>
  </si>
  <si>
    <t>Tropical Blend</t>
  </si>
  <si>
    <t>Minute Maid Bottle</t>
  </si>
  <si>
    <t>Fruit Punch</t>
  </si>
  <si>
    <t>Pink Lemodane</t>
  </si>
  <si>
    <t>Powerade</t>
  </si>
  <si>
    <t>Red</t>
  </si>
  <si>
    <t>Blue</t>
  </si>
  <si>
    <t>Orange</t>
  </si>
  <si>
    <t>Yellow</t>
  </si>
  <si>
    <t>Energy Drink</t>
  </si>
  <si>
    <t>Monster White Zero</t>
  </si>
  <si>
    <t>Monster Green Energy</t>
  </si>
  <si>
    <t>Tea Bottle</t>
  </si>
  <si>
    <t>Arizona Tea</t>
  </si>
  <si>
    <t>Peace Tea</t>
  </si>
  <si>
    <t>Milkshake</t>
  </si>
  <si>
    <t>Malted Milk</t>
  </si>
  <si>
    <t>Trigo Wheat Cereal</t>
  </si>
  <si>
    <t>Mamey</t>
  </si>
  <si>
    <t>Soursop</t>
  </si>
  <si>
    <t>Passion</t>
  </si>
  <si>
    <t>Yup Milk Bottle</t>
  </si>
  <si>
    <t>Banana/Strawberry</t>
  </si>
  <si>
    <t>Water</t>
  </si>
  <si>
    <t>PBWater</t>
  </si>
  <si>
    <t>Zephyrhills</t>
  </si>
  <si>
    <t>Dasani</t>
  </si>
  <si>
    <t>Smart Water</t>
  </si>
  <si>
    <t>Perrier</t>
  </si>
  <si>
    <t>Beer    P14 - P15 $4.99</t>
  </si>
  <si>
    <t>Coquito Tradicional 17 oz medium</t>
  </si>
  <si>
    <t>Coquito Tradicional 750 ml Large</t>
  </si>
  <si>
    <t>Heineken Bottle</t>
  </si>
  <si>
    <t>Corona Bottle</t>
  </si>
  <si>
    <t>Corona 6pack</t>
  </si>
  <si>
    <t>Wine</t>
  </si>
  <si>
    <t>Miscelaneus</t>
  </si>
  <si>
    <t>Gigi Sauce</t>
  </si>
  <si>
    <t>Velas de Numeros</t>
  </si>
  <si>
    <t>Velas  Pqte</t>
  </si>
  <si>
    <t>Velas Sparkles pqte</t>
  </si>
  <si>
    <t>Velas Sparkles</t>
  </si>
  <si>
    <t>Chips Plantain El toston</t>
  </si>
  <si>
    <t>Extra cup</t>
  </si>
  <si>
    <t>Party Package #1</t>
  </si>
  <si>
    <t>Cake</t>
  </si>
  <si>
    <t>Vanilla Merengue Cake | 15 Slices
 25 Pastelitos Guava
 25 Croquetas</t>
  </si>
  <si>
    <t>Party Package #2</t>
  </si>
  <si>
    <t>Vanilla Merengue Cake | 25-30 Slices
 25 Bocaditos Pasta
 25 Pastelitos Guava
 25 Croquetas</t>
  </si>
  <si>
    <t>Party Package #3</t>
  </si>
  <si>
    <t>Vanilla Merengue Cake | 25-30 Slices
 25 Bocaditos Pasta
 25 Pastelitos Guava
 25 Pastelitos Ham
 25 Croquetas</t>
  </si>
  <si>
    <t>Party Package #4</t>
  </si>
  <si>
    <t>Vanilla Merengue Cake | 50-60 Slices
 50 Bocaditos Pasta
 50 Pastelitos Guava
 50 Pastelitos Ham
 50 Croquetas</t>
  </si>
  <si>
    <t>Party Package #5</t>
  </si>
  <si>
    <t>Vanilla Merengue Cake | 50-60 Slices
 100 Bocaditos Pasta
 100 Pastelitos Guava
 100 Pastelitos Ham
 100 Croquetas</t>
  </si>
  <si>
    <t>Party Package #6</t>
  </si>
  <si>
    <t>Vanilla Merengue Cake | 75-90 Slices
 75 Bocaditos Pasta
 75 Pastelitos Guava
 75 Pastelitos Ham
 75 Croquetas</t>
  </si>
  <si>
    <t>Party Package #7</t>
  </si>
  <si>
    <t>Vanilla Merengue Cake | 100 Slices
 100 Bocaditos Pasta
 100 Pastelitos Guava
 100 Pastelitos Ham
 100 Croquetas</t>
  </si>
  <si>
    <t>Party Package #8</t>
  </si>
  <si>
    <t>Vanilla Merengue Cake | 100 Slices
 100 Bocaditos Pasta
 100 Pastelitos Guava
 100 Pastelitos Beef
 100 Pastelitos Cheese
 100 Papa Rellena Cocktail
 100 Croquetas</t>
  </si>
  <si>
    <t>Party Package #9</t>
  </si>
  <si>
    <t>No Cake</t>
  </si>
  <si>
    <t>25 Bocaditos Pasta
 25 Pastelitos Guava
 25 Pastelitos Beef
 25 Croquetas</t>
  </si>
  <si>
    <t>Party Package #10</t>
  </si>
  <si>
    <t>50 Bocaditos Pasta
 50 Pastelitos Guava
 50 Pastelitos Beef
 50 Croquetas</t>
  </si>
  <si>
    <t>Party Package #11</t>
  </si>
  <si>
    <t>50 Bocaditos Pasta
 50 Pastelitos Guava
 50 Pastelitos Ham
 50 Pastelitos Cheese
 50 Croquetas
 50 Tamales</t>
  </si>
  <si>
    <t>Party Package #12</t>
  </si>
  <si>
    <t>50 Bocaditos Pasta
 50 Pastelitos Ham
 50 Pastelitos Cheese
 50 Croquetas
 50 Papa Rellena Cocktail
 50 Empanadas Mini</t>
  </si>
  <si>
    <t>Party Platters</t>
  </si>
  <si>
    <t>Pastelitos Platter</t>
  </si>
  <si>
    <t>Assorted Mini (Guava, Cheese, Beef)</t>
  </si>
  <si>
    <t>Guava Mini</t>
  </si>
  <si>
    <t>Cheese Mini</t>
  </si>
  <si>
    <t>Beef Mini</t>
  </si>
  <si>
    <t>Chicken Mini</t>
  </si>
  <si>
    <t>Coconut Mini</t>
  </si>
  <si>
    <t>Piña</t>
  </si>
  <si>
    <t>Coco Queso Mini</t>
  </si>
  <si>
    <t>Ham "Cangrejito"</t>
  </si>
  <si>
    <t>Nutella Mini</t>
  </si>
  <si>
    <t>Pistachio</t>
  </si>
  <si>
    <t>Pizza Mini</t>
  </si>
  <si>
    <t>Preparado Mini</t>
  </si>
  <si>
    <t>Vol-Au-Vent</t>
  </si>
  <si>
    <t>Ham (Pasta)</t>
  </si>
  <si>
    <t>Ensalada de Pollo</t>
  </si>
  <si>
    <t>Croquetas</t>
  </si>
  <si>
    <t>Jamon</t>
  </si>
  <si>
    <t>Pollo</t>
  </si>
  <si>
    <t>Casera Mini</t>
  </si>
  <si>
    <t>Carne</t>
  </si>
  <si>
    <t>Empanada Colombianas</t>
  </si>
  <si>
    <t>Empanada Gallega Pie</t>
  </si>
  <si>
    <t>Breakfast</t>
  </si>
  <si>
    <t>Cuban Tostada</t>
  </si>
  <si>
    <t>Papa Rellena</t>
  </si>
  <si>
    <t>Cocktail Mini</t>
  </si>
  <si>
    <t>Cocktail Medium</t>
  </si>
  <si>
    <t>Tequeños Mini</t>
  </si>
  <si>
    <t>Sandwiches</t>
  </si>
  <si>
    <t>Mini Pan con Lechon</t>
  </si>
  <si>
    <t>Bocaditos Lazca | Ham Cheese</t>
  </si>
  <si>
    <t>Bocaditos | Ham Spread</t>
  </si>
  <si>
    <t>Bocaditos | Tuna</t>
  </si>
  <si>
    <t>American | Ham Cheese</t>
  </si>
  <si>
    <t>Croissants | Ham Cheese</t>
  </si>
  <si>
    <t>Croissants | Chicken Salad</t>
  </si>
  <si>
    <t>Frances</t>
  </si>
  <si>
    <t>Gallego</t>
  </si>
  <si>
    <t>Wraps | Ham &amp; Cheese</t>
  </si>
  <si>
    <t>Wraps | Turkey &amp; Cheese</t>
  </si>
  <si>
    <t>Mini Croqueta Preparada</t>
  </si>
  <si>
    <t>Breads Platter</t>
  </si>
  <si>
    <t>Chicken Platter</t>
  </si>
  <si>
    <t>Chicken Nuggets</t>
  </si>
  <si>
    <t>Cordon Bleu Nuggets</t>
  </si>
  <si>
    <t>Chicken Drumsticks/Wings</t>
  </si>
  <si>
    <t>Meat Platter</t>
  </si>
  <si>
    <t>Dates Wrapped in Bacon</t>
  </si>
  <si>
    <t>Meatballs Marinara</t>
  </si>
  <si>
    <t>Pigs in a Blanket</t>
  </si>
  <si>
    <t>Rolls of Ham, Cheese, Olive</t>
  </si>
  <si>
    <t>Desserts Platter</t>
  </si>
  <si>
    <t>Assorted Fine Sweets | Dulce fino</t>
  </si>
  <si>
    <t>Assorted Senoritas</t>
  </si>
  <si>
    <t>Mini - Tartaletas</t>
  </si>
  <si>
    <t>Frutas</t>
  </si>
  <si>
    <t>Guayaba</t>
  </si>
  <si>
    <t>Nutella</t>
  </si>
  <si>
    <t>Pistaccio</t>
  </si>
  <si>
    <t>Tamalitos Platter</t>
  </si>
  <si>
    <t>Tamalitos</t>
  </si>
  <si>
    <t>Salad</t>
  </si>
  <si>
    <t>Macaroni Ham Salad 1 lb.</t>
  </si>
  <si>
    <t>Macaroni Ham Salad 6oz.(personal)</t>
  </si>
  <si>
    <t>Macaroni  Chicken Salad 1 lb.</t>
  </si>
  <si>
    <t>Macaroni Chicken Salad 6oz.(personal)</t>
  </si>
  <si>
    <t>Macarroni Ham Salad 15 pp</t>
  </si>
  <si>
    <t>Macarroni Ham Salad 25 pp</t>
  </si>
  <si>
    <t>Bocadito Ham Spread 6oz.</t>
  </si>
  <si>
    <t>Gourmet Cakes</t>
  </si>
  <si>
    <t>Merengue Classico</t>
  </si>
  <si>
    <t>Merengue Classico | 15 pieces</t>
  </si>
  <si>
    <t>Merengue Classico | 25 pieces</t>
  </si>
  <si>
    <t>Merengue Classico | 50 pieces</t>
  </si>
  <si>
    <t>Merengue Classico | 75 pieces</t>
  </si>
  <si>
    <t>Merengue Classico | 100 pieces</t>
  </si>
  <si>
    <t>Buttercream Classic Cakes</t>
  </si>
  <si>
    <t>Buttercream Classic Cakes | 15 pieces</t>
  </si>
  <si>
    <t>Buttercream Classic Cakes | 25 pieces</t>
  </si>
  <si>
    <t>Buttercream Classic Cakes | 50 pieces</t>
  </si>
  <si>
    <t>Buttercream Classic Cakes | 75 pieces</t>
  </si>
  <si>
    <t>Buttercream Classic Cakes | 100 pieces</t>
  </si>
  <si>
    <t>Specialty Naked Buttercream Cakes</t>
  </si>
  <si>
    <t>Specialty Naked Buttercream Cakes | 10 pieces</t>
  </si>
  <si>
    <t>Specialty Naked Buttercream Cakes | 15 pieces</t>
  </si>
  <si>
    <t>Reese' Peanut Butter Cakes</t>
  </si>
  <si>
    <t>Reese' Peanut Butter Cakes | 10 pieces</t>
  </si>
  <si>
    <t>Reese' Peanut Butter Cakes | 15 pieces</t>
  </si>
  <si>
    <t>Capuchino Cakes</t>
  </si>
  <si>
    <t>Capuchino Cakes | 15 pieces</t>
  </si>
  <si>
    <t>Capuchino Cakes | 25 pieces</t>
  </si>
  <si>
    <t>Capuchino Cakes | 50 pieces</t>
  </si>
  <si>
    <t>Capuchino Cakes | 75 pieces</t>
  </si>
  <si>
    <t>Capuchino Cakes | 100 pieces</t>
  </si>
  <si>
    <t>Bon Bon Cakes</t>
  </si>
  <si>
    <t>Raspberry Delight</t>
  </si>
  <si>
    <t>Ferrero Rocher</t>
  </si>
  <si>
    <t>Rum Cakes</t>
  </si>
  <si>
    <t>Vanilla Rum</t>
  </si>
  <si>
    <t>Chocolate Rum</t>
  </si>
  <si>
    <t>Chocolate Cakes</t>
  </si>
  <si>
    <t>Chocolate Caramel</t>
  </si>
  <si>
    <t>Chocolate Fudge</t>
  </si>
  <si>
    <t>Chocolate Opera</t>
  </si>
  <si>
    <t>Chocolate Opera Europa</t>
  </si>
  <si>
    <t>Signature Cakes</t>
  </si>
  <si>
    <t>Chaja Peach</t>
  </si>
  <si>
    <t>Charlotte Almond</t>
  </si>
  <si>
    <t>Fressier Cream</t>
  </si>
  <si>
    <t>Nata con Fresas</t>
  </si>
  <si>
    <t>Pineapple Upside Down</t>
  </si>
  <si>
    <t>Napolitano</t>
  </si>
  <si>
    <t>Cheesecakes</t>
  </si>
  <si>
    <t>Plain</t>
  </si>
  <si>
    <t>Dulce de Leche Cheesecake</t>
  </si>
  <si>
    <t>Fantasy</t>
  </si>
  <si>
    <t>Blueberry</t>
  </si>
  <si>
    <t>Strawberry Cheesecake (Fruit)</t>
  </si>
  <si>
    <t>Pumpkin *Seasonal</t>
  </si>
  <si>
    <t>Flan Cheesecakes</t>
  </si>
  <si>
    <t>Classic</t>
  </si>
  <si>
    <t>Mousse Cakes</t>
  </si>
  <si>
    <t>Dulce de Leche Mousse</t>
  </si>
  <si>
    <t>Fresa Cuadrado</t>
  </si>
  <si>
    <t>Mango Cuadrado</t>
  </si>
  <si>
    <t>Maracuya Mousse</t>
  </si>
  <si>
    <t>Raspberry Cuadrado</t>
  </si>
  <si>
    <t>Marquesa de Guayaba</t>
  </si>
  <si>
    <t>Fresh Fruit Tart</t>
  </si>
  <si>
    <t>Torre de merengue Small</t>
  </si>
  <si>
    <t>Torre de merengue Large</t>
  </si>
  <si>
    <t>Cake Holiday</t>
  </si>
  <si>
    <t>HOLIDAY BUTTERCREAM 15PP</t>
  </si>
  <si>
    <t>HOLIDAY MERENGUE CAKE 15PP</t>
  </si>
  <si>
    <t xml:space="preserve">HOLIDAY MERENGUE CAKE 25PP </t>
  </si>
  <si>
    <t xml:space="preserve">HOLIDAY FONDANT CAKEPOP-6CT </t>
  </si>
  <si>
    <t xml:space="preserve">HOLIDAY FONDANT CAKEPOP-12CT </t>
  </si>
  <si>
    <t>HOLIDAY CUPCAKE 6 PK reg</t>
  </si>
  <si>
    <t>HOLIDAY CUPCAKE 6 PK filled</t>
  </si>
  <si>
    <t xml:space="preserve">HOLIDAY FONDANT CUPCAKE 6 PK </t>
  </si>
  <si>
    <t>HOLIDAY CUPCAKE CAKE reg</t>
  </si>
  <si>
    <t>HOLIDAY CUPCAKE CAKE filled</t>
  </si>
  <si>
    <t xml:space="preserve">15pp Cuban Pork Meal + Holiday Cake </t>
  </si>
  <si>
    <t xml:space="preserve">25pp Cuban Pork Meal + Holiday Cake </t>
  </si>
  <si>
    <t xml:space="preserve">15pp Arroz Imperial Meal + Holiday Cake </t>
  </si>
  <si>
    <t xml:space="preserve">25pp Arroz Imperial Meal + Holiday Cake </t>
  </si>
  <si>
    <t xml:space="preserve">Holiday Cookie - 6ct (Print) </t>
  </si>
  <si>
    <t>Add item - Print</t>
  </si>
  <si>
    <t>Holiday Cookie - 12ct (Print)</t>
  </si>
  <si>
    <t xml:space="preserve">HOLIDAY PACKAGE 1 </t>
  </si>
  <si>
    <t xml:space="preserve">HOLIDAY PACKAGE 2 </t>
  </si>
  <si>
    <t>Arroz Imperial</t>
  </si>
  <si>
    <t>15 personas</t>
  </si>
  <si>
    <t>25 Personas</t>
  </si>
  <si>
    <t>Cuban Pork Shoulder</t>
  </si>
  <si>
    <t>Holiday Sweet Ham</t>
  </si>
  <si>
    <t>Traditional Turkey</t>
  </si>
  <si>
    <t>Paella Mixta</t>
  </si>
  <si>
    <t>Enchilado de Camarones</t>
  </si>
  <si>
    <t>Congri con Picadillo</t>
  </si>
  <si>
    <t>Lasagna</t>
  </si>
  <si>
    <t>Tamal con masitas</t>
  </si>
  <si>
    <t>Arroz Campesino</t>
  </si>
  <si>
    <t>NY Strip Loin</t>
  </si>
  <si>
    <t>Masitas de Cerdo Fritas</t>
  </si>
  <si>
    <t>Congri Cubano</t>
  </si>
  <si>
    <t>Arroz Blanco</t>
  </si>
  <si>
    <t>Frijoles Negros</t>
  </si>
  <si>
    <t>Platanitos</t>
  </si>
  <si>
    <t>Yuca con mojo</t>
  </si>
  <si>
    <t>Ensalada Clasica</t>
  </si>
  <si>
    <t>Cuban Pork Shoulder (without sides)</t>
  </si>
  <si>
    <t>6.5 lb. - 7.5 lb.</t>
  </si>
  <si>
    <t>Sweet Ham (without sides)</t>
  </si>
  <si>
    <t>9.5 lb. - 10.5 lb.</t>
  </si>
  <si>
    <t>Turkey Meal (without sides)</t>
  </si>
  <si>
    <t>16 lb. - 20 lb.</t>
  </si>
  <si>
    <t>20 lb. - 24 lb.</t>
  </si>
  <si>
    <t>Mas de 24 lb.</t>
  </si>
  <si>
    <t>Special Packages
 (Online)</t>
  </si>
  <si>
    <t xml:space="preserve">305 Miami Package
</t>
  </si>
  <si>
    <t xml:space="preserve">25 Party Croquetas, 25 Party Pastelito Assorted, 25 Party Sandwich Bocadito Lazca or Bocadito Pasta, 25 Papa Rellena Cocktail, and 25 Cordon Bleu Nuggets. </t>
  </si>
  <si>
    <t>No carafe</t>
  </si>
  <si>
    <t>Add American Coffee</t>
  </si>
  <si>
    <t>"+21.99"</t>
  </si>
  <si>
    <t>Add Cafe Con Leche</t>
  </si>
  <si>
    <t>"+24.99"</t>
  </si>
  <si>
    <t>Add Fresh Orange Juice</t>
  </si>
  <si>
    <t>"+27.99"</t>
  </si>
  <si>
    <t>Add Fruit Juice (Mango)</t>
  </si>
  <si>
    <t>Add Chocolate</t>
  </si>
  <si>
    <t>"+34.99"</t>
  </si>
  <si>
    <t>Family Breakfast (ONLINE)</t>
  </si>
  <si>
    <t xml:space="preserve">12 Eggs, 12 Bacon, 3 Sausage Patties, 3 Slices Ham, 3 Tostadas, and 3 Croquetas. </t>
  </si>
  <si>
    <t xml:space="preserve">12 Pastelitos, 12 Croquetas, </t>
  </si>
  <si>
    <t>12 Pastelitos, 12 Croquetas Casera.</t>
  </si>
  <si>
    <t xml:space="preserve">25 Pastelitos, 25 Croquetas, </t>
  </si>
  <si>
    <t xml:space="preserve">25 Party Croquetas, and 25 Party Pastelito Assorted. </t>
  </si>
  <si>
    <t>25 Pastelitos, 25 Croquetas, 25 Papa Rellena</t>
  </si>
  <si>
    <t xml:space="preserve">25 Party Croquetas, 25 Party Pastelito Assorted, and 25 Papa Rellena party size.
</t>
  </si>
  <si>
    <t>25 Pastelitos, 25 Croquetas, 6-Pack Cakepops</t>
  </si>
  <si>
    <t>6-pack Cake Pops any flavor, 25 Pastelito Assorted Platter, and 25 Party Croquetas.</t>
  </si>
  <si>
    <t>25 Pastelitos, 25 Croquetas, Familiar Dessert</t>
  </si>
  <si>
    <t>Flan Familiar or Pudin de Pan Familiar or Pudin Diplomat. Familiar, 25 Pastelito Assorted Platter, and 25 Croquetas Traditional.</t>
  </si>
  <si>
    <t>Sandwich Lunch Platter
 (Online)</t>
  </si>
  <si>
    <t>Includes macaroni salad and 12 sodas</t>
  </si>
  <si>
    <t>Includes 12 plantain chip bags and 12 fruit juice (1 Carafe)</t>
  </si>
  <si>
    <t>Includes 12 plantain chip bags and 12 sodas</t>
  </si>
  <si>
    <t>Includes macaroni salad and 12 fruit juice (1 Carafe)</t>
  </si>
  <si>
    <t xml:space="preserve">Sandwich Party Platter
 (Online)
</t>
  </si>
  <si>
    <t>Product</t>
  </si>
  <si>
    <t>Base Price 2024</t>
  </si>
  <si>
    <t>New Prices 2025</t>
  </si>
  <si>
    <t>% Increase</t>
  </si>
  <si>
    <t>Base Price Tier 1 2024</t>
  </si>
  <si>
    <t>Base Price Tier 2 2024</t>
  </si>
  <si>
    <t>Pizza</t>
  </si>
  <si>
    <t>Swiss cheese</t>
  </si>
  <si>
    <t xml:space="preserve">Combo Sol </t>
  </si>
  <si>
    <t>Pastelito</t>
  </si>
  <si>
    <t xml:space="preserve">Small Café
</t>
  </si>
  <si>
    <t>Combo Sabor</t>
  </si>
  <si>
    <t xml:space="preserve">Breakfast sausage, hard fried egg, american cheese
</t>
  </si>
  <si>
    <t xml:space="preserve">Turkey, cream cheese, strawberry jelly
</t>
  </si>
  <si>
    <t xml:space="preserve">Chorizo, grilled onion
</t>
  </si>
  <si>
    <t xml:space="preserve">Turkey, ham, bacon, Swiss, French toast, powdered sugar
</t>
  </si>
  <si>
    <t xml:space="preserve">Turkey, bacon, provolone, onion, lettuce, tomato
</t>
  </si>
  <si>
    <t xml:space="preserve">Homemade tuna salad, mozzarella, onion, lettuce, tomato
</t>
  </si>
  <si>
    <t xml:space="preserve">Chicken, provolone, onion, green pepper, red pepper
</t>
  </si>
  <si>
    <t xml:space="preserve">Chicken, mozzarella, lettuce, tomato, Ceasar dressing
</t>
  </si>
  <si>
    <t xml:space="preserve">Ham, prosciutto, salami, cantimpalo, mozzarella, lettuce, tomato, pesto
</t>
  </si>
  <si>
    <t xml:space="preserve">Chicken, plantains, mozzarella, onion, red pepper, lettuce
</t>
  </si>
  <si>
    <t>Opera Chocolate Coffee</t>
  </si>
  <si>
    <t>Flan</t>
  </si>
  <si>
    <t>Pie Fruit Slices</t>
  </si>
  <si>
    <t>Flan Familiar</t>
  </si>
  <si>
    <t>Full | Flauta</t>
  </si>
  <si>
    <t>Full | Mantequilla</t>
  </si>
  <si>
    <t>Larguito | Cubanito</t>
  </si>
  <si>
    <t>Media Noche Bread</t>
  </si>
  <si>
    <t>Rolls | Bolito</t>
  </si>
  <si>
    <t>Single Breads</t>
  </si>
  <si>
    <t>Baguette Rustico</t>
  </si>
  <si>
    <t>Ciabatta</t>
  </si>
  <si>
    <t>Multigrain</t>
  </si>
  <si>
    <t>Cheese Bread</t>
  </si>
  <si>
    <t>Sunkist</t>
  </si>
  <si>
    <t>Minute Maid</t>
  </si>
  <si>
    <t>Monster</t>
  </si>
  <si>
    <t>Red Bull</t>
  </si>
  <si>
    <t>Beer</t>
  </si>
  <si>
    <t>Coquito Tradicional Virgen 17 oz</t>
  </si>
  <si>
    <t>Coquito Tradicional Virgen 750 ml</t>
  </si>
  <si>
    <t>Gigi</t>
  </si>
  <si>
    <t>Vol-Au-Vent Ham</t>
  </si>
  <si>
    <t>Vol-Au-Vent Tuna</t>
  </si>
  <si>
    <t>Ham Chorizo</t>
  </si>
  <si>
    <t>Gallega</t>
  </si>
  <si>
    <t>Cordon Blue Nuggets</t>
  </si>
  <si>
    <t>Macaroni Ham Salad 1/2 lb.</t>
  </si>
  <si>
    <t>Macaroni Ham Chicken 1 lb.</t>
  </si>
  <si>
    <t>Macaroni Ham Chicken 1/2 lb.</t>
  </si>
  <si>
    <t>Bocadito Ham Spread 1/2 lb.</t>
  </si>
  <si>
    <t>Special Packages</t>
  </si>
  <si>
    <t xml:space="preserve">Family Breakfast, </t>
  </si>
  <si>
    <t>Description</t>
  </si>
  <si>
    <t>Adds</t>
  </si>
  <si>
    <t>Base Price</t>
  </si>
  <si>
    <t xml:space="preserve"> Pickup (Base + 4%)</t>
  </si>
  <si>
    <t>Delivery (Base + 25%)</t>
  </si>
  <si>
    <t>Appetizers</t>
  </si>
  <si>
    <t>Tamal</t>
  </si>
  <si>
    <t>Masas de Puerco or Chicharrón</t>
  </si>
  <si>
    <t>Alitas De Pollo</t>
  </si>
  <si>
    <t>Buffalo or BBQ</t>
  </si>
  <si>
    <t>Tostones Rellenos</t>
  </si>
  <si>
    <t>Shrimp creole, picadillo, ropa vieja, or mixed</t>
  </si>
  <si>
    <t>Croquetas Surtidas</t>
  </si>
  <si>
    <t>Ham, cod fish, and spinach</t>
  </si>
  <si>
    <t>Fritura De Bacalao</t>
  </si>
  <si>
    <t>Cod fish fritters</t>
  </si>
  <si>
    <t>Yuca Frita</t>
  </si>
  <si>
    <t>Yuca fried, cilantro aioli</t>
  </si>
  <si>
    <t>Chicharrones</t>
  </si>
  <si>
    <t>Fried pork</t>
  </si>
  <si>
    <t>Tamal Plain</t>
  </si>
  <si>
    <t>Soups and Salads</t>
  </si>
  <si>
    <t>Cesar Salad</t>
  </si>
  <si>
    <t>Add Chicken +$3.00</t>
  </si>
  <si>
    <t>Add Shrimp +$4.00</t>
  </si>
  <si>
    <t>Sopa De Pollo</t>
  </si>
  <si>
    <t>Homemade Chicken Soup</t>
  </si>
  <si>
    <t>Cup</t>
  </si>
  <si>
    <t>Bowl</t>
  </si>
  <si>
    <t>Crema de Queso</t>
  </si>
  <si>
    <t>Cheese Bisque</t>
  </si>
  <si>
    <t>Crema de Langosta</t>
  </si>
  <si>
    <t>Lobster Bisque</t>
  </si>
  <si>
    <t>Pasta</t>
  </si>
  <si>
    <t>Spaghetti Pomodoro</t>
  </si>
  <si>
    <t>Tomato sauce, garlic, basil</t>
  </si>
  <si>
    <t>Spaghetti a la Carbonara</t>
  </si>
  <si>
    <t>White sauce, bacon, eggs</t>
  </si>
  <si>
    <t>Fettuccine Alfredo</t>
  </si>
  <si>
    <t>Add chicken or shrimp + $2.00</t>
  </si>
  <si>
    <t>Kids Menu</t>
  </si>
  <si>
    <t>Chicken tenders</t>
  </si>
  <si>
    <t>Fried or grilled chicken, french fries</t>
  </si>
  <si>
    <t>Baby Churrasco</t>
  </si>
  <si>
    <t>Small steak, french fries</t>
  </si>
  <si>
    <t>Meats</t>
  </si>
  <si>
    <t>Costillas de Res Estofada</t>
  </si>
  <si>
    <t>Braised beef rib</t>
  </si>
  <si>
    <t>Filet mignon wrapped in bacon</t>
  </si>
  <si>
    <t>Red wine mushroom sauce | 10 oz.</t>
  </si>
  <si>
    <t>Pineapple chimichurri</t>
  </si>
  <si>
    <t>Steak Diane</t>
  </si>
  <si>
    <t>White wine mushroom sauce</t>
  </si>
  <si>
    <t>Bistec de puerco</t>
  </si>
  <si>
    <t>Pork steak, grilled onions</t>
  </si>
  <si>
    <t>Masas de puerco</t>
  </si>
  <si>
    <t>Cuban mojo pork chunks, onions</t>
  </si>
  <si>
    <t>Shredded beef, onions, peppers, creole style</t>
  </si>
  <si>
    <t>Vaca Frita</t>
  </si>
  <si>
    <t>Crispy shredded beef, Cuban mojo, onions</t>
  </si>
  <si>
    <t>Bistec De Palomilla</t>
  </si>
  <si>
    <t>Traditional Cuban beef steak, grilled onions</t>
  </si>
  <si>
    <t>Empanizado + $1.00</t>
  </si>
  <si>
    <t>Milanesa + $2.00</t>
  </si>
  <si>
    <t>Pollo a La Plancha</t>
  </si>
  <si>
    <t>Cuban mojo chicken steak, grilled onions</t>
  </si>
  <si>
    <t>Picadillo A La Criolla</t>
  </si>
  <si>
    <t>Ground beef creole style</t>
  </si>
  <si>
    <t>Lomito a lo pobre</t>
  </si>
  <si>
    <t>Steak, peppers, onions, french fries, fried egg, white rice, fried plantains</t>
  </si>
  <si>
    <t>Seafood</t>
  </si>
  <si>
    <t>Mixed paella for two people</t>
  </si>
  <si>
    <t>Pargo Entero Frito</t>
  </si>
  <si>
    <t>Fried whole snapper</t>
  </si>
  <si>
    <t>Pargo a lo Macho</t>
  </si>
  <si>
    <t>Snapper fillet, red seafood sauce</t>
  </si>
  <si>
    <t>Camarones al Ajillo</t>
  </si>
  <si>
    <t>Shrimp scampi, garlic sauce</t>
  </si>
  <si>
    <t>Enchilado De Camarones</t>
  </si>
  <si>
    <t>Shrimp creole</t>
  </si>
  <si>
    <t>Salmon Teriyaki</t>
  </si>
  <si>
    <t>Grilled salmon, teriyaki sauce</t>
  </si>
  <si>
    <t>Filete de Pescado</t>
  </si>
  <si>
    <t>Fish fillet, shrimp, champagne sauce</t>
  </si>
  <si>
    <t>Mofongo and Trifongo</t>
  </si>
  <si>
    <t>Classic Mofongo</t>
  </si>
  <si>
    <t>Crispy green plantains, mashed with garlic butter. Choice of Churrasco, Masas de Puerco, or Shrimp</t>
  </si>
  <si>
    <t>Sauce Blue Cheese or Champagne + $1.99</t>
  </si>
  <si>
    <t>Trifongo</t>
  </si>
  <si>
    <t>Crispy green plantains, yuca &amp; sweet plantains, mashed with garlic butter. Choice of Churrasco, Masas de Puerco or Shrimp</t>
  </si>
  <si>
    <t>Burger</t>
  </si>
  <si>
    <t>Guava Burger</t>
  </si>
  <si>
    <t>Cheeseburger</t>
  </si>
  <si>
    <t>Cubana Frita</t>
  </si>
  <si>
    <t>Havana Bowl or Burrito</t>
  </si>
  <si>
    <t>White rice, black beans, sweet plantains, lettuce, tomatoes, cilantro sauce.</t>
  </si>
  <si>
    <t>Chicken, fish, shrimp, or ground beef.</t>
  </si>
  <si>
    <t>Churrasco $ 2.60</t>
  </si>
  <si>
    <t>Add extra protein: $ 4.99</t>
  </si>
  <si>
    <t>Add egg: $ 1.50</t>
  </si>
  <si>
    <t>Marquesa De Guayaba</t>
  </si>
  <si>
    <t>Crema Catalana</t>
  </si>
  <si>
    <t>Cafes</t>
  </si>
  <si>
    <t>Café Americano</t>
  </si>
  <si>
    <t>Café Cubano</t>
  </si>
  <si>
    <t>Cortadito W/Evap</t>
  </si>
  <si>
    <t>Café Con Leche</t>
  </si>
  <si>
    <t>Cafe Frio</t>
  </si>
  <si>
    <t>Cafe Bon Bon</t>
  </si>
  <si>
    <t>Cocktails</t>
  </si>
  <si>
    <t>Aperol Spritz</t>
  </si>
  <si>
    <t>Lychee Martini</t>
  </si>
  <si>
    <t>Margarita</t>
  </si>
  <si>
    <t>Michelada</t>
  </si>
  <si>
    <t>Mojito</t>
  </si>
  <si>
    <t>Guayaba Mojito</t>
  </si>
  <si>
    <t>Piña Colada</t>
  </si>
  <si>
    <t>Caprioshka (también se escribe Caipiroska)</t>
  </si>
  <si>
    <t>Cuba Libre</t>
  </si>
  <si>
    <t>Choco Noir Martini</t>
  </si>
  <si>
    <t>Wines &amp; Mimosas</t>
  </si>
  <si>
    <t>Red Wine</t>
  </si>
  <si>
    <t>By Glass</t>
  </si>
  <si>
    <t>White Wine</t>
  </si>
  <si>
    <t>Rosé</t>
  </si>
  <si>
    <t>Prosecco</t>
  </si>
  <si>
    <t>Mimosa</t>
  </si>
  <si>
    <t>Guayaba Mimosa</t>
  </si>
  <si>
    <t>Sangria</t>
  </si>
  <si>
    <t>By Bottle</t>
  </si>
  <si>
    <t>Bottle or Draft</t>
  </si>
  <si>
    <t>Bucket (5 Beers)</t>
  </si>
  <si>
    <t>Draft Pitchers</t>
  </si>
  <si>
    <t>Soft-Drinks</t>
  </si>
  <si>
    <t>Juice</t>
  </si>
  <si>
    <t>Tropical</t>
  </si>
  <si>
    <t>Frozen Limonada</t>
  </si>
  <si>
    <t>Tropical Blen</t>
  </si>
  <si>
    <t>Sin alcohol</t>
  </si>
  <si>
    <t>Imported Soda</t>
  </si>
  <si>
    <t>Iced Tea</t>
  </si>
  <si>
    <t>opera</t>
  </si>
  <si>
    <t>New Prices 2025 Cash</t>
  </si>
  <si>
    <t>New Prices 2025 CC</t>
  </si>
  <si>
    <t>Iced Latte</t>
  </si>
  <si>
    <t>PACKAGES</t>
  </si>
  <si>
    <t>Name Package</t>
  </si>
  <si>
    <t>Add-on</t>
  </si>
  <si>
    <t>Cash Price</t>
  </si>
  <si>
    <t xml:space="preserve">25 Party Croquetas Traditional, 25 Party Pastelito Assorted, 25 Party Sandwich Bocadito Lazca or Bocadito Pasta, 25 Papa Rellena Cocktail, and 25 Cordon Bleu Nuggets. ADD Carafe To-Go (96 oz.) of your favorite drink | 12 cups, sugar packets, stirrers.
</t>
  </si>
  <si>
    <t>Family Breakfast, Add Carafe</t>
  </si>
  <si>
    <t>12 Eggs, 12 Bacon, 3 Sausage Patties, 3 Slices Ham, 3 Tostadas, and 3 Croquetas. ADD Carafe To-Go (96 oz.) of your favorite drink | 12 cups, sugar packets, stirrers</t>
  </si>
  <si>
    <t>12 Pastelitos, 12 Croquetas, Add Carafe</t>
  </si>
  <si>
    <t>12 Pastelitos, 12 Croquetas Casera. ADD Carafe To-Go (96 oz.) of your favorite drink | 12 cups, sugar packets, stirrers</t>
  </si>
  <si>
    <t>25 Pastelitos, 25 Croquetas, Add Carafe</t>
  </si>
  <si>
    <t>25 Party Croquetas Traditional, and 25 Party Pastelito Assorted. ADD Carafe To-Go (96 oz.) of your favorite drink | 12 cups, sugar packets, stirrers</t>
  </si>
  <si>
    <t xml:space="preserve">25 Party Croquetas Traditional, 25 Party Pastelito Assorted, and 25 Papa Rellena party size.
</t>
  </si>
  <si>
    <t>6-pack Regular Vanilla Cake Pops, 25 Pastelito Assorted Platter, and 25 Croquetas Traditional.</t>
  </si>
  <si>
    <t>Mango Mini</t>
  </si>
  <si>
    <t>Pina Mini</t>
  </si>
  <si>
    <t>Plain, Guava, Blueberry Cheesecake</t>
  </si>
  <si>
    <t>Top Sales</t>
  </si>
  <si>
    <t>Item</t>
  </si>
  <si>
    <t>Fresh Smoothie 4-PACK</t>
  </si>
  <si>
    <t>Normal</t>
  </si>
  <si>
    <t>25 Party Platter: Pastelito | Assorted Classics</t>
  </si>
  <si>
    <t>Assorted</t>
  </si>
  <si>
    <t>25 Party Platter: Croqueta | Traditional</t>
  </si>
  <si>
    <t>25 Party Platter: Sandwich | Bocadito</t>
  </si>
  <si>
    <t>25 Party Platter: Sandwich | Bocadito Lazca</t>
  </si>
  <si>
    <t>Iced Café Con Leche</t>
  </si>
  <si>
    <t>Party Platter Pckg: 25 Pastelito Assorted Classics &amp; 25 Croqueta Traditional</t>
  </si>
  <si>
    <t>Esponru Licor</t>
  </si>
  <si>
    <t>Breakfast Pack: Tostada and Iced Coffee 4-Pack</t>
  </si>
  <si>
    <t>Lunch Pack: Multigrain Turkey and Smoothies 2-Pack</t>
  </si>
  <si>
    <t>Party Pack: Pastelitos, Bocadito Lazca and Carafe Fruit Juice</t>
  </si>
  <si>
    <t>Back to School: 2 Dozenas + Carafe Pckg</t>
  </si>
  <si>
    <t>Back to Work: Family Breakfast + Carafe Pckg</t>
  </si>
  <si>
    <t xml:space="preserve">305 Miami Package
</t>
  </si>
  <si>
    <t xml:space="preserve">306 Miami Package
</t>
  </si>
  <si>
    <t xml:space="preserve">307 Miami Package
</t>
  </si>
  <si>
    <t xml:space="preserve">308 Miami Package
</t>
  </si>
  <si>
    <t xml:space="preserve">309 Miami Package
</t>
  </si>
  <si>
    <t>Homemade GIGI Sauce</t>
  </si>
  <si>
    <t>Fries</t>
  </si>
  <si>
    <t>Total</t>
  </si>
  <si>
    <t>30% Dct.</t>
  </si>
  <si>
    <t>Combo</t>
  </si>
  <si>
    <t>Precio uber</t>
  </si>
  <si>
    <t>shopify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</si>
</sst>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2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trike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trike/>
      <sz val="10"/>
      <color theme="1"/>
      <name val="Arial"/>
      <family val="2"/>
    </font>
    <font>
      <strike/>
      <sz val="10"/>
      <color theme="1"/>
      <name val="Arial"/>
      <family val="2"/>
      <scheme val="minor"/>
    </font>
    <font>
      <strike/>
      <sz val="10"/>
      <color rgb="FFFF0000"/>
      <name val="Arial"/>
      <family val="2"/>
    </font>
    <font>
      <sz val="10"/>
      <color rgb="FFFF99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6E3B6"/>
        <bgColor rgb="FFA6E3B6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AD9D6"/>
        <bgColor rgb="FFFAD9D6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8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4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/>
    <xf numFmtId="0" fontId="3" fillId="0" borderId="4" xfId="0" applyFont="1" applyBorder="1"/>
    <xf numFmtId="0" fontId="2" fillId="0" borderId="8" xfId="0" applyFont="1" applyBorder="1" applyAlignment="1">
      <alignment vertical="center" wrapText="1"/>
    </xf>
    <xf numFmtId="0" fontId="5" fillId="0" borderId="10" xfId="0" applyFont="1" applyBorder="1"/>
    <xf numFmtId="0" fontId="5" fillId="0" borderId="11" xfId="0" applyFont="1" applyBorder="1"/>
    <xf numFmtId="164" fontId="2" fillId="0" borderId="11" xfId="0" applyNumberFormat="1" applyFont="1" applyBorder="1"/>
    <xf numFmtId="165" fontId="2" fillId="0" borderId="11" xfId="0" applyNumberFormat="1" applyFont="1" applyBorder="1"/>
    <xf numFmtId="165" fontId="4" fillId="0" borderId="11" xfId="0" applyNumberFormat="1" applyFont="1" applyBorder="1"/>
    <xf numFmtId="0" fontId="5" fillId="0" borderId="14" xfId="0" applyFont="1" applyBorder="1"/>
    <xf numFmtId="164" fontId="2" fillId="0" borderId="14" xfId="0" applyNumberFormat="1" applyFont="1" applyBorder="1"/>
    <xf numFmtId="165" fontId="2" fillId="0" borderId="14" xfId="0" applyNumberFormat="1" applyFont="1" applyBorder="1"/>
    <xf numFmtId="165" fontId="4" fillId="0" borderId="14" xfId="0" applyNumberFormat="1" applyFont="1" applyBorder="1"/>
    <xf numFmtId="0" fontId="2" fillId="0" borderId="16" xfId="0" applyFont="1" applyBorder="1" applyAlignment="1">
      <alignment vertical="center" wrapText="1"/>
    </xf>
    <xf numFmtId="164" fontId="2" fillId="0" borderId="14" xfId="0" applyNumberFormat="1" applyFont="1" applyBorder="1" applyAlignment="1">
      <alignment horizontal="right"/>
    </xf>
    <xf numFmtId="165" fontId="2" fillId="0" borderId="14" xfId="0" applyNumberFormat="1" applyFont="1" applyBorder="1" applyAlignment="1">
      <alignment horizontal="right"/>
    </xf>
    <xf numFmtId="0" fontId="5" fillId="0" borderId="20" xfId="0" applyFont="1" applyBorder="1"/>
    <xf numFmtId="0" fontId="5" fillId="0" borderId="21" xfId="0" applyFont="1" applyBorder="1"/>
    <xf numFmtId="0" fontId="2" fillId="0" borderId="14" xfId="0" applyFont="1" applyBorder="1"/>
    <xf numFmtId="0" fontId="2" fillId="0" borderId="11" xfId="0" applyFont="1" applyBorder="1"/>
    <xf numFmtId="0" fontId="6" fillId="0" borderId="21" xfId="0" applyFont="1" applyBorder="1"/>
    <xf numFmtId="0" fontId="6" fillId="0" borderId="24" xfId="0" applyFont="1" applyBorder="1"/>
    <xf numFmtId="0" fontId="2" fillId="0" borderId="10" xfId="0" applyFont="1" applyBorder="1"/>
    <xf numFmtId="0" fontId="2" fillId="0" borderId="25" xfId="0" applyFont="1" applyBorder="1" applyAlignment="1">
      <alignment vertical="center" wrapText="1"/>
    </xf>
    <xf numFmtId="0" fontId="2" fillId="0" borderId="20" xfId="0" applyFont="1" applyBorder="1"/>
    <xf numFmtId="0" fontId="5" fillId="0" borderId="8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24" xfId="0" applyFont="1" applyBorder="1"/>
    <xf numFmtId="0" fontId="2" fillId="0" borderId="21" xfId="0" applyFont="1" applyBorder="1"/>
    <xf numFmtId="164" fontId="2" fillId="0" borderId="21" xfId="0" applyNumberFormat="1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6" fillId="0" borderId="20" xfId="0" applyFont="1" applyBorder="1"/>
    <xf numFmtId="164" fontId="8" fillId="0" borderId="14" xfId="0" applyNumberFormat="1" applyFont="1" applyBorder="1"/>
    <xf numFmtId="165" fontId="8" fillId="0" borderId="14" xfId="0" applyNumberFormat="1" applyFont="1" applyBorder="1"/>
    <xf numFmtId="165" fontId="9" fillId="0" borderId="14" xfId="0" applyNumberFormat="1" applyFont="1" applyBorder="1"/>
    <xf numFmtId="0" fontId="5" fillId="0" borderId="27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14" xfId="0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0" fillId="0" borderId="16" xfId="0" applyFont="1" applyBorder="1" applyAlignment="1">
      <alignment vertical="center" wrapText="1"/>
    </xf>
    <xf numFmtId="0" fontId="10" fillId="0" borderId="14" xfId="0" applyFont="1" applyBorder="1" applyAlignment="1">
      <alignment vertical="center"/>
    </xf>
    <xf numFmtId="0" fontId="5" fillId="0" borderId="2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6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/>
    <xf numFmtId="0" fontId="5" fillId="0" borderId="22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29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164" fontId="8" fillId="0" borderId="14" xfId="0" applyNumberFormat="1" applyFont="1" applyBorder="1" applyAlignment="1">
      <alignment horizontal="right"/>
    </xf>
    <xf numFmtId="165" fontId="8" fillId="0" borderId="14" xfId="0" applyNumberFormat="1" applyFont="1" applyBorder="1" applyAlignment="1">
      <alignment horizontal="right"/>
    </xf>
    <xf numFmtId="0" fontId="5" fillId="0" borderId="14" xfId="0" applyFont="1" applyBorder="1" applyAlignment="1">
      <alignment horizontal="left" vertical="center"/>
    </xf>
    <xf numFmtId="164" fontId="2" fillId="0" borderId="14" xfId="0" applyNumberFormat="1" applyFont="1" applyBorder="1" applyAlignment="1">
      <alignment vertical="center"/>
    </xf>
    <xf numFmtId="165" fontId="2" fillId="0" borderId="14" xfId="0" applyNumberFormat="1" applyFont="1" applyBorder="1" applyAlignment="1">
      <alignment vertical="center"/>
    </xf>
    <xf numFmtId="0" fontId="10" fillId="0" borderId="14" xfId="0" applyFont="1" applyBorder="1" applyAlignment="1">
      <alignment horizontal="left"/>
    </xf>
    <xf numFmtId="0" fontId="10" fillId="0" borderId="20" xfId="0" applyFont="1" applyBorder="1" applyAlignment="1">
      <alignment vertical="center"/>
    </xf>
    <xf numFmtId="0" fontId="7" fillId="0" borderId="0" xfId="0" applyFont="1"/>
    <xf numFmtId="165" fontId="5" fillId="0" borderId="14" xfId="0" applyNumberFormat="1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65" fontId="8" fillId="0" borderId="14" xfId="0" applyNumberFormat="1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2" fillId="6" borderId="0" xfId="0" applyFont="1" applyFill="1" applyAlignment="1">
      <alignment vertical="center"/>
    </xf>
    <xf numFmtId="0" fontId="5" fillId="0" borderId="16" xfId="0" applyFont="1" applyBorder="1"/>
    <xf numFmtId="165" fontId="5" fillId="0" borderId="14" xfId="0" applyNumberFormat="1" applyFont="1" applyBorder="1" applyAlignment="1">
      <alignment horizontal="right"/>
    </xf>
    <xf numFmtId="0" fontId="5" fillId="0" borderId="15" xfId="0" applyFont="1" applyBorder="1"/>
    <xf numFmtId="0" fontId="2" fillId="0" borderId="15" xfId="0" applyFont="1" applyBorder="1"/>
    <xf numFmtId="164" fontId="2" fillId="0" borderId="21" xfId="0" applyNumberFormat="1" applyFont="1" applyBorder="1"/>
    <xf numFmtId="0" fontId="2" fillId="0" borderId="13" xfId="0" applyFont="1" applyBorder="1"/>
    <xf numFmtId="165" fontId="2" fillId="0" borderId="21" xfId="0" applyNumberFormat="1" applyFont="1" applyBorder="1" applyAlignment="1">
      <alignment horizontal="right"/>
    </xf>
    <xf numFmtId="165" fontId="4" fillId="0" borderId="21" xfId="0" applyNumberFormat="1" applyFont="1" applyBorder="1"/>
    <xf numFmtId="164" fontId="2" fillId="0" borderId="27" xfId="0" applyNumberFormat="1" applyFont="1" applyBorder="1"/>
    <xf numFmtId="164" fontId="2" fillId="0" borderId="36" xfId="0" applyNumberFormat="1" applyFont="1" applyBorder="1"/>
    <xf numFmtId="164" fontId="2" fillId="0" borderId="20" xfId="0" applyNumberFormat="1" applyFont="1" applyBorder="1"/>
    <xf numFmtId="164" fontId="2" fillId="0" borderId="37" xfId="0" applyNumberFormat="1" applyFont="1" applyBorder="1"/>
    <xf numFmtId="0" fontId="5" fillId="0" borderId="0" xfId="0" applyFont="1"/>
    <xf numFmtId="164" fontId="5" fillId="0" borderId="14" xfId="0" applyNumberFormat="1" applyFont="1" applyBorder="1"/>
    <xf numFmtId="164" fontId="5" fillId="0" borderId="21" xfId="0" applyNumberFormat="1" applyFont="1" applyBorder="1"/>
    <xf numFmtId="0" fontId="5" fillId="0" borderId="13" xfId="0" applyFont="1" applyBorder="1"/>
    <xf numFmtId="0" fontId="5" fillId="0" borderId="24" xfId="0" applyFont="1" applyBorder="1"/>
    <xf numFmtId="0" fontId="5" fillId="0" borderId="38" xfId="0" applyFont="1" applyBorder="1"/>
    <xf numFmtId="0" fontId="12" fillId="0" borderId="10" xfId="0" applyFont="1" applyBorder="1"/>
    <xf numFmtId="165" fontId="12" fillId="0" borderId="40" xfId="0" applyNumberFormat="1" applyFont="1" applyBorder="1" applyAlignment="1">
      <alignment horizontal="right"/>
    </xf>
    <xf numFmtId="0" fontId="12" fillId="0" borderId="42" xfId="0" applyFont="1" applyBorder="1"/>
    <xf numFmtId="0" fontId="13" fillId="0" borderId="43" xfId="0" applyFont="1" applyBorder="1" applyAlignment="1">
      <alignment wrapText="1"/>
    </xf>
    <xf numFmtId="0" fontId="12" fillId="0" borderId="14" xfId="0" applyFont="1" applyBorder="1"/>
    <xf numFmtId="165" fontId="12" fillId="0" borderId="45" xfId="0" applyNumberFormat="1" applyFont="1" applyBorder="1" applyAlignment="1">
      <alignment horizontal="right"/>
    </xf>
    <xf numFmtId="0" fontId="12" fillId="0" borderId="47" xfId="0" applyFont="1" applyBorder="1"/>
    <xf numFmtId="0" fontId="13" fillId="0" borderId="48" xfId="0" applyFont="1" applyBorder="1" applyAlignment="1">
      <alignment wrapText="1"/>
    </xf>
    <xf numFmtId="0" fontId="12" fillId="0" borderId="49" xfId="0" applyFont="1" applyBorder="1"/>
    <xf numFmtId="0" fontId="13" fillId="0" borderId="37" xfId="0" applyFont="1" applyBorder="1" applyAlignment="1">
      <alignment wrapText="1"/>
    </xf>
    <xf numFmtId="0" fontId="12" fillId="0" borderId="20" xfId="0" applyFont="1" applyBorder="1"/>
    <xf numFmtId="165" fontId="12" fillId="0" borderId="37" xfId="0" applyNumberFormat="1" applyFont="1" applyBorder="1" applyAlignment="1">
      <alignment horizontal="right"/>
    </xf>
    <xf numFmtId="0" fontId="2" fillId="0" borderId="52" xfId="0" applyFont="1" applyBorder="1" applyAlignment="1">
      <alignment horizontal="left" vertical="center" wrapText="1"/>
    </xf>
    <xf numFmtId="0" fontId="2" fillId="0" borderId="5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5" fontId="2" fillId="0" borderId="54" xfId="0" applyNumberFormat="1" applyFont="1" applyBorder="1" applyAlignment="1">
      <alignment horizontal="center" vertical="center"/>
    </xf>
    <xf numFmtId="165" fontId="2" fillId="0" borderId="54" xfId="0" applyNumberFormat="1" applyFont="1" applyBorder="1" applyAlignment="1">
      <alignment horizontal="center" vertical="center" wrapText="1"/>
    </xf>
    <xf numFmtId="0" fontId="4" fillId="0" borderId="11" xfId="0" applyFont="1" applyBorder="1"/>
    <xf numFmtId="165" fontId="2" fillId="0" borderId="11" xfId="0" applyNumberFormat="1" applyFont="1" applyBorder="1" applyAlignment="1">
      <alignment horizontal="center" vertical="center"/>
    </xf>
    <xf numFmtId="0" fontId="4" fillId="0" borderId="14" xfId="0" applyFont="1" applyBorder="1"/>
    <xf numFmtId="165" fontId="2" fillId="0" borderId="14" xfId="0" applyNumberFormat="1" applyFont="1" applyBorder="1" applyAlignment="1">
      <alignment horizontal="center" vertical="center"/>
    </xf>
    <xf numFmtId="2" fontId="1" fillId="7" borderId="56" xfId="0" applyNumberFormat="1" applyFont="1" applyFill="1" applyBorder="1" applyAlignment="1">
      <alignment horizontal="center"/>
    </xf>
    <xf numFmtId="2" fontId="1" fillId="3" borderId="56" xfId="0" applyNumberFormat="1" applyFont="1" applyFill="1" applyBorder="1" applyAlignment="1">
      <alignment horizontal="center"/>
    </xf>
    <xf numFmtId="2" fontId="1" fillId="2" borderId="56" xfId="0" applyNumberFormat="1" applyFont="1" applyFill="1" applyBorder="1" applyAlignment="1">
      <alignment horizontal="center"/>
    </xf>
    <xf numFmtId="164" fontId="5" fillId="0" borderId="10" xfId="0" applyNumberFormat="1" applyFont="1" applyBorder="1"/>
    <xf numFmtId="164" fontId="5" fillId="0" borderId="40" xfId="0" applyNumberFormat="1" applyFont="1" applyBorder="1"/>
    <xf numFmtId="10" fontId="5" fillId="0" borderId="32" xfId="0" applyNumberFormat="1" applyFont="1" applyBorder="1"/>
    <xf numFmtId="164" fontId="5" fillId="0" borderId="45" xfId="0" applyNumberFormat="1" applyFont="1" applyBorder="1"/>
    <xf numFmtId="10" fontId="5" fillId="0" borderId="51" xfId="0" applyNumberFormat="1" applyFont="1" applyBorder="1"/>
    <xf numFmtId="164" fontId="5" fillId="0" borderId="20" xfId="0" applyNumberFormat="1" applyFont="1" applyBorder="1"/>
    <xf numFmtId="164" fontId="5" fillId="0" borderId="57" xfId="0" applyNumberFormat="1" applyFont="1" applyBorder="1"/>
    <xf numFmtId="164" fontId="2" fillId="0" borderId="40" xfId="0" applyNumberFormat="1" applyFont="1" applyBorder="1"/>
    <xf numFmtId="164" fontId="2" fillId="0" borderId="10" xfId="0" applyNumberFormat="1" applyFont="1" applyBorder="1"/>
    <xf numFmtId="164" fontId="2" fillId="0" borderId="45" xfId="0" applyNumberFormat="1" applyFont="1" applyBorder="1"/>
    <xf numFmtId="164" fontId="2" fillId="0" borderId="57" xfId="0" applyNumberFormat="1" applyFont="1" applyBorder="1"/>
    <xf numFmtId="164" fontId="2" fillId="0" borderId="60" xfId="0" applyNumberFormat="1" applyFont="1" applyBorder="1"/>
    <xf numFmtId="164" fontId="2" fillId="0" borderId="61" xfId="0" applyNumberFormat="1" applyFont="1" applyBorder="1"/>
    <xf numFmtId="164" fontId="2" fillId="0" borderId="38" xfId="0" applyNumberFormat="1" applyFont="1" applyBorder="1"/>
    <xf numFmtId="164" fontId="2" fillId="0" borderId="24" xfId="0" applyNumberFormat="1" applyFont="1" applyBorder="1"/>
    <xf numFmtId="0" fontId="2" fillId="0" borderId="14" xfId="0" applyFont="1" applyBorder="1" applyAlignment="1">
      <alignment wrapText="1"/>
    </xf>
    <xf numFmtId="164" fontId="2" fillId="0" borderId="40" xfId="0" applyNumberFormat="1" applyFont="1" applyBorder="1" applyAlignment="1">
      <alignment vertical="center"/>
    </xf>
    <xf numFmtId="164" fontId="2" fillId="0" borderId="10" xfId="0" applyNumberFormat="1" applyFont="1" applyBorder="1" applyAlignment="1">
      <alignment vertical="center"/>
    </xf>
    <xf numFmtId="164" fontId="2" fillId="0" borderId="45" xfId="0" applyNumberFormat="1" applyFont="1" applyBorder="1" applyAlignment="1">
      <alignment vertical="center"/>
    </xf>
    <xf numFmtId="164" fontId="8" fillId="0" borderId="45" xfId="0" applyNumberFormat="1" applyFont="1" applyBorder="1" applyAlignment="1">
      <alignment vertical="center"/>
    </xf>
    <xf numFmtId="164" fontId="2" fillId="0" borderId="20" xfId="0" applyNumberFormat="1" applyFont="1" applyBorder="1" applyAlignment="1">
      <alignment vertical="center"/>
    </xf>
    <xf numFmtId="164" fontId="12" fillId="0" borderId="45" xfId="0" applyNumberFormat="1" applyFont="1" applyBorder="1" applyAlignment="1">
      <alignment horizontal="right"/>
    </xf>
    <xf numFmtId="164" fontId="12" fillId="0" borderId="14" xfId="0" applyNumberFormat="1" applyFont="1" applyBorder="1" applyAlignment="1">
      <alignment horizontal="right"/>
    </xf>
    <xf numFmtId="164" fontId="12" fillId="0" borderId="14" xfId="0" applyNumberFormat="1" applyFont="1" applyBorder="1"/>
    <xf numFmtId="164" fontId="8" fillId="0" borderId="45" xfId="0" applyNumberFormat="1" applyFont="1" applyBorder="1"/>
    <xf numFmtId="164" fontId="2" fillId="2" borderId="21" xfId="0" applyNumberFormat="1" applyFont="1" applyFill="1" applyBorder="1"/>
    <xf numFmtId="0" fontId="10" fillId="0" borderId="14" xfId="0" applyFont="1" applyBorder="1" applyAlignment="1">
      <alignment vertical="center" wrapText="1"/>
    </xf>
    <xf numFmtId="164" fontId="8" fillId="0" borderId="14" xfId="0" applyNumberFormat="1" applyFont="1" applyBorder="1" applyAlignment="1">
      <alignment vertical="center"/>
    </xf>
    <xf numFmtId="164" fontId="2" fillId="0" borderId="60" xfId="0" applyNumberFormat="1" applyFont="1" applyBorder="1" applyAlignment="1">
      <alignment vertical="center"/>
    </xf>
    <xf numFmtId="164" fontId="2" fillId="0" borderId="38" xfId="0" applyNumberFormat="1" applyFont="1" applyBorder="1" applyAlignment="1">
      <alignment vertical="center"/>
    </xf>
    <xf numFmtId="164" fontId="2" fillId="0" borderId="24" xfId="0" applyNumberFormat="1" applyFont="1" applyBorder="1" applyAlignment="1">
      <alignment vertical="center"/>
    </xf>
    <xf numFmtId="164" fontId="2" fillId="0" borderId="57" xfId="0" applyNumberFormat="1" applyFont="1" applyBorder="1" applyAlignment="1">
      <alignment vertical="center"/>
    </xf>
    <xf numFmtId="0" fontId="5" fillId="0" borderId="14" xfId="0" applyFont="1" applyBorder="1" applyAlignment="1">
      <alignment horizontal="left"/>
    </xf>
    <xf numFmtId="164" fontId="8" fillId="0" borderId="57" xfId="0" applyNumberFormat="1" applyFont="1" applyBorder="1" applyAlignment="1">
      <alignment vertical="center"/>
    </xf>
    <xf numFmtId="164" fontId="8" fillId="0" borderId="20" xfId="0" applyNumberFormat="1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5" fillId="0" borderId="45" xfId="0" applyNumberFormat="1" applyFont="1" applyBorder="1" applyAlignment="1">
      <alignment vertical="center"/>
    </xf>
    <xf numFmtId="2" fontId="2" fillId="9" borderId="62" xfId="0" applyNumberFormat="1" applyFont="1" applyFill="1" applyBorder="1" applyAlignment="1">
      <alignment vertical="center"/>
    </xf>
    <xf numFmtId="164" fontId="14" fillId="0" borderId="16" xfId="0" applyNumberFormat="1" applyFont="1" applyBorder="1" applyAlignment="1">
      <alignment horizontal="right"/>
    </xf>
    <xf numFmtId="164" fontId="14" fillId="0" borderId="15" xfId="0" applyNumberFormat="1" applyFont="1" applyBorder="1" applyAlignment="1">
      <alignment horizontal="right"/>
    </xf>
    <xf numFmtId="2" fontId="2" fillId="0" borderId="63" xfId="0" applyNumberFormat="1" applyFont="1" applyBorder="1" applyAlignment="1">
      <alignment vertical="center"/>
    </xf>
    <xf numFmtId="2" fontId="2" fillId="0" borderId="45" xfId="0" applyNumberFormat="1" applyFont="1" applyBorder="1" applyAlignment="1">
      <alignment vertical="center"/>
    </xf>
    <xf numFmtId="2" fontId="2" fillId="0" borderId="60" xfId="0" applyNumberFormat="1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16" xfId="0" applyFont="1" applyBorder="1"/>
    <xf numFmtId="164" fontId="14" fillId="0" borderId="64" xfId="0" applyNumberFormat="1" applyFont="1" applyBorder="1" applyAlignment="1">
      <alignment horizontal="right"/>
    </xf>
    <xf numFmtId="165" fontId="14" fillId="0" borderId="14" xfId="0" applyNumberFormat="1" applyFont="1" applyBorder="1" applyAlignment="1">
      <alignment horizontal="right"/>
    </xf>
    <xf numFmtId="0" fontId="14" fillId="0" borderId="11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15" xfId="0" applyFont="1" applyBorder="1"/>
    <xf numFmtId="164" fontId="14" fillId="0" borderId="65" xfId="0" applyNumberFormat="1" applyFont="1" applyBorder="1" applyAlignment="1">
      <alignment horizontal="right"/>
    </xf>
    <xf numFmtId="164" fontId="12" fillId="0" borderId="15" xfId="0" applyNumberFormat="1" applyFont="1" applyBorder="1" applyAlignment="1">
      <alignment horizontal="right"/>
    </xf>
    <xf numFmtId="0" fontId="12" fillId="0" borderId="15" xfId="0" applyFont="1" applyBorder="1"/>
    <xf numFmtId="164" fontId="12" fillId="0" borderId="65" xfId="0" applyNumberFormat="1" applyFont="1" applyBorder="1" applyAlignment="1">
      <alignment horizontal="right"/>
    </xf>
    <xf numFmtId="165" fontId="12" fillId="0" borderId="14" xfId="0" applyNumberFormat="1" applyFont="1" applyBorder="1" applyAlignment="1">
      <alignment horizontal="right"/>
    </xf>
    <xf numFmtId="0" fontId="14" fillId="0" borderId="15" xfId="0" applyFont="1" applyBorder="1" applyAlignment="1">
      <alignment horizontal="right"/>
    </xf>
    <xf numFmtId="0" fontId="14" fillId="10" borderId="15" xfId="0" applyFont="1" applyFill="1" applyBorder="1" applyAlignment="1">
      <alignment horizontal="right"/>
    </xf>
    <xf numFmtId="0" fontId="14" fillId="0" borderId="65" xfId="0" applyFont="1" applyBorder="1" applyAlignment="1">
      <alignment horizontal="right"/>
    </xf>
    <xf numFmtId="0" fontId="12" fillId="0" borderId="15" xfId="0" applyFont="1" applyBorder="1" applyAlignment="1">
      <alignment horizontal="right"/>
    </xf>
    <xf numFmtId="0" fontId="12" fillId="0" borderId="65" xfId="0" applyFont="1" applyBorder="1" applyAlignment="1">
      <alignment horizontal="right"/>
    </xf>
    <xf numFmtId="0" fontId="12" fillId="0" borderId="43" xfId="0" applyFont="1" applyBorder="1" applyAlignment="1">
      <alignment horizontal="right"/>
    </xf>
    <xf numFmtId="0" fontId="12" fillId="0" borderId="48" xfId="0" applyFont="1" applyBorder="1" applyAlignment="1">
      <alignment horizontal="right"/>
    </xf>
    <xf numFmtId="0" fontId="12" fillId="0" borderId="37" xfId="0" applyFont="1" applyBorder="1" applyAlignment="1">
      <alignment horizontal="right"/>
    </xf>
    <xf numFmtId="0" fontId="14" fillId="0" borderId="13" xfId="0" applyFont="1" applyBorder="1"/>
    <xf numFmtId="0" fontId="14" fillId="0" borderId="0" xfId="0" applyFont="1" applyAlignment="1">
      <alignment horizontal="right"/>
    </xf>
    <xf numFmtId="0" fontId="5" fillId="0" borderId="66" xfId="0" applyFont="1" applyBorder="1"/>
    <xf numFmtId="0" fontId="14" fillId="0" borderId="66" xfId="0" applyFont="1" applyBorder="1"/>
    <xf numFmtId="164" fontId="12" fillId="0" borderId="37" xfId="0" applyNumberFormat="1" applyFont="1" applyBorder="1" applyAlignment="1">
      <alignment horizontal="right"/>
    </xf>
    <xf numFmtId="0" fontId="14" fillId="0" borderId="14" xfId="0" applyFont="1" applyBorder="1"/>
    <xf numFmtId="164" fontId="12" fillId="0" borderId="43" xfId="0" applyNumberFormat="1" applyFont="1" applyBorder="1" applyAlignment="1">
      <alignment horizontal="right"/>
    </xf>
    <xf numFmtId="164" fontId="12" fillId="0" borderId="48" xfId="0" applyNumberFormat="1" applyFont="1" applyBorder="1" applyAlignment="1">
      <alignment horizontal="right"/>
    </xf>
    <xf numFmtId="164" fontId="12" fillId="0" borderId="55" xfId="0" applyNumberFormat="1" applyFont="1" applyBorder="1" applyAlignment="1">
      <alignment horizontal="right" wrapText="1"/>
    </xf>
    <xf numFmtId="164" fontId="12" fillId="0" borderId="55" xfId="0" applyNumberFormat="1" applyFont="1" applyBorder="1" applyAlignment="1">
      <alignment horizontal="right"/>
    </xf>
    <xf numFmtId="164" fontId="7" fillId="0" borderId="0" xfId="0" applyNumberFormat="1" applyFont="1"/>
    <xf numFmtId="4" fontId="12" fillId="0" borderId="37" xfId="0" applyNumberFormat="1" applyFont="1" applyBorder="1" applyAlignment="1">
      <alignment horizontal="right"/>
    </xf>
    <xf numFmtId="4" fontId="12" fillId="0" borderId="48" xfId="0" applyNumberFormat="1" applyFont="1" applyBorder="1" applyAlignment="1">
      <alignment horizontal="right"/>
    </xf>
    <xf numFmtId="0" fontId="12" fillId="0" borderId="68" xfId="0" applyFont="1" applyBorder="1" applyAlignment="1">
      <alignment horizontal="left" vertical="center" wrapText="1"/>
    </xf>
    <xf numFmtId="0" fontId="12" fillId="0" borderId="54" xfId="0" applyFont="1" applyBorder="1" applyAlignment="1">
      <alignment horizontal="left" vertical="center" wrapText="1"/>
    </xf>
    <xf numFmtId="4" fontId="12" fillId="0" borderId="55" xfId="0" applyNumberFormat="1" applyFont="1" applyBorder="1" applyAlignment="1">
      <alignment horizontal="right" wrapText="1"/>
    </xf>
    <xf numFmtId="165" fontId="12" fillId="0" borderId="55" xfId="0" applyNumberFormat="1" applyFont="1" applyBorder="1" applyAlignment="1">
      <alignment horizontal="center" vertical="center" wrapText="1"/>
    </xf>
    <xf numFmtId="4" fontId="12" fillId="0" borderId="55" xfId="0" applyNumberFormat="1" applyFont="1" applyBorder="1" applyAlignment="1">
      <alignment horizontal="right"/>
    </xf>
    <xf numFmtId="165" fontId="12" fillId="0" borderId="55" xfId="0" applyNumberFormat="1" applyFont="1" applyBorder="1" applyAlignment="1">
      <alignment horizontal="center" vertical="center"/>
    </xf>
    <xf numFmtId="2" fontId="12" fillId="0" borderId="55" xfId="0" applyNumberFormat="1" applyFont="1" applyBorder="1" applyAlignment="1">
      <alignment horizontal="right"/>
    </xf>
    <xf numFmtId="0" fontId="15" fillId="0" borderId="53" xfId="0" applyFont="1" applyBorder="1" applyAlignment="1">
      <alignment horizontal="center" wrapText="1"/>
    </xf>
    <xf numFmtId="0" fontId="12" fillId="0" borderId="27" xfId="0" applyFont="1" applyBorder="1"/>
    <xf numFmtId="4" fontId="15" fillId="0" borderId="27" xfId="0" applyNumberFormat="1" applyFont="1" applyBorder="1" applyAlignment="1">
      <alignment horizontal="center"/>
    </xf>
    <xf numFmtId="4" fontId="15" fillId="0" borderId="32" xfId="0" applyNumberFormat="1" applyFont="1" applyBorder="1" applyAlignment="1">
      <alignment horizontal="center"/>
    </xf>
    <xf numFmtId="4" fontId="12" fillId="0" borderId="14" xfId="0" applyNumberFormat="1" applyFont="1" applyBorder="1"/>
    <xf numFmtId="4" fontId="12" fillId="0" borderId="14" xfId="0" applyNumberFormat="1" applyFont="1" applyBorder="1" applyAlignment="1">
      <alignment horizontal="right"/>
    </xf>
    <xf numFmtId="0" fontId="12" fillId="0" borderId="11" xfId="0" applyFont="1" applyBorder="1"/>
    <xf numFmtId="4" fontId="12" fillId="0" borderId="11" xfId="0" applyNumberFormat="1" applyFont="1" applyBorder="1"/>
    <xf numFmtId="4" fontId="12" fillId="0" borderId="11" xfId="0" applyNumberFormat="1" applyFont="1" applyBorder="1" applyAlignment="1">
      <alignment horizontal="right"/>
    </xf>
    <xf numFmtId="4" fontId="12" fillId="0" borderId="67" xfId="0" applyNumberFormat="1" applyFont="1" applyBorder="1" applyAlignment="1">
      <alignment horizontal="right"/>
    </xf>
    <xf numFmtId="0" fontId="12" fillId="0" borderId="24" xfId="0" applyFont="1" applyBorder="1"/>
    <xf numFmtId="4" fontId="12" fillId="0" borderId="24" xfId="0" applyNumberFormat="1" applyFont="1" applyBorder="1"/>
    <xf numFmtId="4" fontId="12" fillId="0" borderId="24" xfId="0" applyNumberFormat="1" applyFont="1" applyBorder="1" applyAlignment="1">
      <alignment horizontal="right"/>
    </xf>
    <xf numFmtId="4" fontId="12" fillId="0" borderId="21" xfId="0" applyNumberFormat="1" applyFont="1" applyBorder="1" applyAlignment="1">
      <alignment horizontal="right"/>
    </xf>
    <xf numFmtId="4" fontId="12" fillId="0" borderId="34" xfId="0" applyNumberFormat="1" applyFont="1" applyBorder="1" applyAlignment="1">
      <alignment horizontal="right"/>
    </xf>
    <xf numFmtId="4" fontId="12" fillId="0" borderId="10" xfId="0" applyNumberFormat="1" applyFont="1" applyBorder="1"/>
    <xf numFmtId="4" fontId="12" fillId="0" borderId="10" xfId="0" applyNumberFormat="1" applyFont="1" applyBorder="1" applyAlignment="1">
      <alignment horizontal="right"/>
    </xf>
    <xf numFmtId="4" fontId="12" fillId="0" borderId="43" xfId="0" applyNumberFormat="1" applyFont="1" applyBorder="1" applyAlignment="1">
      <alignment horizontal="right"/>
    </xf>
    <xf numFmtId="0" fontId="12" fillId="0" borderId="21" xfId="0" applyFont="1" applyBorder="1"/>
    <xf numFmtId="4" fontId="12" fillId="0" borderId="0" xfId="0" applyNumberFormat="1" applyFont="1"/>
    <xf numFmtId="4" fontId="12" fillId="0" borderId="21" xfId="0" applyNumberFormat="1" applyFont="1" applyBorder="1"/>
    <xf numFmtId="4" fontId="12" fillId="0" borderId="20" xfId="0" applyNumberFormat="1" applyFont="1" applyBorder="1"/>
    <xf numFmtId="4" fontId="12" fillId="0" borderId="20" xfId="0" applyNumberFormat="1" applyFont="1" applyBorder="1" applyAlignment="1">
      <alignment horizontal="right"/>
    </xf>
    <xf numFmtId="0" fontId="12" fillId="0" borderId="36" xfId="0" applyFont="1" applyBorder="1"/>
    <xf numFmtId="4" fontId="12" fillId="0" borderId="36" xfId="0" applyNumberFormat="1" applyFont="1" applyBorder="1"/>
    <xf numFmtId="4" fontId="12" fillId="0" borderId="36" xfId="0" applyNumberFormat="1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2" fillId="0" borderId="14" xfId="0" applyFont="1" applyBorder="1" applyAlignment="1">
      <alignment horizontal="right"/>
    </xf>
    <xf numFmtId="4" fontId="7" fillId="0" borderId="0" xfId="0" applyNumberFormat="1" applyFont="1"/>
    <xf numFmtId="2" fontId="12" fillId="0" borderId="14" xfId="0" applyNumberFormat="1" applyFont="1" applyBorder="1"/>
    <xf numFmtId="2" fontId="12" fillId="0" borderId="21" xfId="0" applyNumberFormat="1" applyFont="1" applyBorder="1"/>
    <xf numFmtId="2" fontId="12" fillId="0" borderId="10" xfId="0" applyNumberFormat="1" applyFont="1" applyBorder="1"/>
    <xf numFmtId="2" fontId="12" fillId="0" borderId="10" xfId="0" applyNumberFormat="1" applyFont="1" applyBorder="1" applyAlignment="1">
      <alignment horizontal="right"/>
    </xf>
    <xf numFmtId="2" fontId="12" fillId="0" borderId="14" xfId="0" applyNumberFormat="1" applyFont="1" applyBorder="1" applyAlignment="1">
      <alignment horizontal="right"/>
    </xf>
    <xf numFmtId="2" fontId="12" fillId="0" borderId="21" xfId="0" applyNumberFormat="1" applyFont="1" applyBorder="1" applyAlignment="1">
      <alignment horizontal="right"/>
    </xf>
    <xf numFmtId="2" fontId="12" fillId="0" borderId="43" xfId="0" applyNumberFormat="1" applyFont="1" applyBorder="1" applyAlignment="1">
      <alignment horizontal="right"/>
    </xf>
    <xf numFmtId="2" fontId="12" fillId="0" borderId="48" xfId="0" applyNumberFormat="1" applyFont="1" applyBorder="1" applyAlignment="1">
      <alignment horizontal="right"/>
    </xf>
    <xf numFmtId="0" fontId="12" fillId="0" borderId="14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2" fontId="12" fillId="0" borderId="20" xfId="0" applyNumberFormat="1" applyFont="1" applyBorder="1"/>
    <xf numFmtId="2" fontId="12" fillId="0" borderId="20" xfId="0" applyNumberFormat="1" applyFont="1" applyBorder="1" applyAlignment="1">
      <alignment horizontal="right"/>
    </xf>
    <xf numFmtId="2" fontId="12" fillId="0" borderId="37" xfId="0" applyNumberFormat="1" applyFont="1" applyBorder="1" applyAlignment="1">
      <alignment horizontal="right"/>
    </xf>
    <xf numFmtId="2" fontId="1" fillId="0" borderId="56" xfId="0" applyNumberFormat="1" applyFont="1" applyBorder="1" applyAlignment="1">
      <alignment horizontal="center"/>
    </xf>
    <xf numFmtId="10" fontId="5" fillId="0" borderId="70" xfId="0" applyNumberFormat="1" applyFont="1" applyBorder="1"/>
    <xf numFmtId="164" fontId="2" fillId="0" borderId="45" xfId="0" applyNumberFormat="1" applyFont="1" applyBorder="1" applyAlignment="1">
      <alignment horizontal="right"/>
    </xf>
    <xf numFmtId="164" fontId="2" fillId="0" borderId="71" xfId="0" applyNumberFormat="1" applyFont="1" applyBorder="1"/>
    <xf numFmtId="164" fontId="2" fillId="0" borderId="57" xfId="0" applyNumberFormat="1" applyFont="1" applyBorder="1" applyAlignment="1">
      <alignment horizontal="right"/>
    </xf>
    <xf numFmtId="164" fontId="2" fillId="0" borderId="72" xfId="0" applyNumberFormat="1" applyFont="1" applyBorder="1"/>
    <xf numFmtId="0" fontId="5" fillId="0" borderId="25" xfId="0" applyFont="1" applyBorder="1" applyAlignment="1">
      <alignment vertical="center" wrapText="1"/>
    </xf>
    <xf numFmtId="10" fontId="5" fillId="0" borderId="42" xfId="0" applyNumberFormat="1" applyFont="1" applyBorder="1"/>
    <xf numFmtId="164" fontId="2" fillId="0" borderId="0" xfId="0" applyNumberFormat="1" applyFont="1"/>
    <xf numFmtId="0" fontId="5" fillId="10" borderId="21" xfId="0" applyFont="1" applyFill="1" applyBorder="1"/>
    <xf numFmtId="164" fontId="2" fillId="0" borderId="48" xfId="0" applyNumberFormat="1" applyFont="1" applyBorder="1"/>
    <xf numFmtId="0" fontId="6" fillId="0" borderId="16" xfId="0" applyFont="1" applyBorder="1" applyAlignment="1">
      <alignment vertical="center" wrapText="1"/>
    </xf>
    <xf numFmtId="0" fontId="8" fillId="0" borderId="14" xfId="0" applyFont="1" applyBorder="1" applyAlignment="1">
      <alignment vertical="center"/>
    </xf>
    <xf numFmtId="164" fontId="2" fillId="0" borderId="56" xfId="0" applyNumberFormat="1" applyFont="1" applyBorder="1"/>
    <xf numFmtId="10" fontId="5" fillId="0" borderId="73" xfId="0" applyNumberFormat="1" applyFont="1" applyBorder="1"/>
    <xf numFmtId="164" fontId="8" fillId="0" borderId="45" xfId="0" applyNumberFormat="1" applyFont="1" applyBorder="1" applyAlignment="1">
      <alignment horizontal="right"/>
    </xf>
    <xf numFmtId="10" fontId="6" fillId="0" borderId="70" xfId="0" applyNumberFormat="1" applyFont="1" applyBorder="1"/>
    <xf numFmtId="164" fontId="2" fillId="0" borderId="71" xfId="0" applyNumberFormat="1" applyFont="1" applyBorder="1" applyAlignment="1">
      <alignment horizontal="right"/>
    </xf>
    <xf numFmtId="0" fontId="6" fillId="0" borderId="20" xfId="0" applyFont="1" applyBorder="1" applyAlignment="1">
      <alignment vertical="center"/>
    </xf>
    <xf numFmtId="164" fontId="2" fillId="0" borderId="41" xfId="0" applyNumberFormat="1" applyFont="1" applyBorder="1" applyAlignment="1">
      <alignment vertical="center"/>
    </xf>
    <xf numFmtId="164" fontId="2" fillId="0" borderId="48" xfId="0" applyNumberFormat="1" applyFont="1" applyBorder="1" applyAlignment="1">
      <alignment vertical="center"/>
    </xf>
    <xf numFmtId="10" fontId="5" fillId="0" borderId="74" xfId="0" applyNumberFormat="1" applyFont="1" applyBorder="1"/>
    <xf numFmtId="164" fontId="2" fillId="0" borderId="67" xfId="0" applyNumberFormat="1" applyFont="1" applyBorder="1" applyAlignment="1">
      <alignment vertical="center"/>
    </xf>
    <xf numFmtId="164" fontId="2" fillId="0" borderId="61" xfId="0" applyNumberFormat="1" applyFont="1" applyBorder="1" applyAlignment="1">
      <alignment vertical="center"/>
    </xf>
    <xf numFmtId="164" fontId="2" fillId="0" borderId="71" xfId="0" applyNumberFormat="1" applyFont="1" applyBorder="1" applyAlignment="1">
      <alignment vertical="center"/>
    </xf>
    <xf numFmtId="0" fontId="2" fillId="9" borderId="30" xfId="0" applyFont="1" applyFill="1" applyBorder="1" applyAlignment="1">
      <alignment vertical="center"/>
    </xf>
    <xf numFmtId="0" fontId="2" fillId="9" borderId="75" xfId="0" applyFont="1" applyFill="1" applyBorder="1"/>
    <xf numFmtId="0" fontId="5" fillId="9" borderId="62" xfId="0" applyFont="1" applyFill="1" applyBorder="1" applyAlignment="1">
      <alignment vertical="center"/>
    </xf>
    <xf numFmtId="2" fontId="2" fillId="9" borderId="76" xfId="0" applyNumberFormat="1" applyFont="1" applyFill="1" applyBorder="1" applyAlignment="1">
      <alignment vertical="center"/>
    </xf>
    <xf numFmtId="2" fontId="14" fillId="0" borderId="16" xfId="0" applyNumberFormat="1" applyFont="1" applyBorder="1" applyAlignment="1">
      <alignment horizontal="right"/>
    </xf>
    <xf numFmtId="10" fontId="14" fillId="0" borderId="16" xfId="0" applyNumberFormat="1" applyFont="1" applyBorder="1" applyAlignment="1">
      <alignment horizontal="right"/>
    </xf>
    <xf numFmtId="2" fontId="14" fillId="0" borderId="15" xfId="0" applyNumberFormat="1" applyFont="1" applyBorder="1" applyAlignment="1">
      <alignment horizontal="right"/>
    </xf>
    <xf numFmtId="2" fontId="12" fillId="0" borderId="15" xfId="0" applyNumberFormat="1" applyFont="1" applyBorder="1" applyAlignment="1">
      <alignment horizontal="right"/>
    </xf>
    <xf numFmtId="0" fontId="15" fillId="0" borderId="5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2" fontId="15" fillId="7" borderId="52" xfId="0" applyNumberFormat="1" applyFont="1" applyFill="1" applyBorder="1" applyAlignment="1">
      <alignment horizontal="center"/>
    </xf>
    <xf numFmtId="2" fontId="15" fillId="3" borderId="5" xfId="0" applyNumberFormat="1" applyFont="1" applyFill="1" applyBorder="1" applyAlignment="1">
      <alignment horizontal="center"/>
    </xf>
    <xf numFmtId="2" fontId="15" fillId="11" borderId="6" xfId="0" applyNumberFormat="1" applyFont="1" applyFill="1" applyBorder="1" applyAlignment="1">
      <alignment horizontal="center"/>
    </xf>
    <xf numFmtId="0" fontId="12" fillId="0" borderId="53" xfId="0" applyFont="1" applyBorder="1" applyAlignment="1">
      <alignment wrapText="1"/>
    </xf>
    <xf numFmtId="0" fontId="12" fillId="0" borderId="54" xfId="0" applyFont="1" applyBorder="1" applyAlignment="1">
      <alignment wrapText="1"/>
    </xf>
    <xf numFmtId="0" fontId="12" fillId="0" borderId="54" xfId="0" applyFont="1" applyBorder="1"/>
    <xf numFmtId="2" fontId="12" fillId="0" borderId="54" xfId="0" applyNumberFormat="1" applyFont="1" applyBorder="1" applyAlignment="1">
      <alignment horizontal="right"/>
    </xf>
    <xf numFmtId="0" fontId="2" fillId="0" borderId="0" xfId="0" applyFont="1"/>
    <xf numFmtId="164" fontId="2" fillId="0" borderId="72" xfId="0" applyNumberFormat="1" applyFont="1" applyBorder="1" applyAlignment="1">
      <alignment horizontal="right"/>
    </xf>
    <xf numFmtId="164" fontId="8" fillId="0" borderId="71" xfId="0" applyNumberFormat="1" applyFont="1" applyBorder="1"/>
    <xf numFmtId="0" fontId="5" fillId="2" borderId="22" xfId="0" applyFont="1" applyFill="1" applyBorder="1" applyAlignment="1">
      <alignment wrapText="1"/>
    </xf>
    <xf numFmtId="0" fontId="5" fillId="2" borderId="21" xfId="0" applyFont="1" applyFill="1" applyBorder="1"/>
    <xf numFmtId="164" fontId="2" fillId="2" borderId="60" xfId="0" applyNumberFormat="1" applyFont="1" applyFill="1" applyBorder="1"/>
    <xf numFmtId="164" fontId="2" fillId="2" borderId="40" xfId="0" applyNumberFormat="1" applyFont="1" applyFill="1" applyBorder="1"/>
    <xf numFmtId="10" fontId="5" fillId="2" borderId="70" xfId="0" applyNumberFormat="1" applyFont="1" applyFill="1" applyBorder="1"/>
    <xf numFmtId="0" fontId="5" fillId="10" borderId="14" xfId="0" applyFont="1" applyFill="1" applyBorder="1"/>
    <xf numFmtId="0" fontId="2" fillId="10" borderId="20" xfId="0" applyFont="1" applyFill="1" applyBorder="1" applyAlignment="1">
      <alignment vertical="center"/>
    </xf>
    <xf numFmtId="164" fontId="8" fillId="0" borderId="71" xfId="0" applyNumberFormat="1" applyFont="1" applyBorder="1" applyAlignment="1">
      <alignment horizontal="right"/>
    </xf>
    <xf numFmtId="0" fontId="5" fillId="6" borderId="14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horizontal="left"/>
    </xf>
    <xf numFmtId="0" fontId="2" fillId="9" borderId="30" xfId="0" applyFont="1" applyFill="1" applyBorder="1"/>
    <xf numFmtId="0" fontId="14" fillId="0" borderId="11" xfId="0" applyFont="1" applyBorder="1"/>
    <xf numFmtId="0" fontId="14" fillId="10" borderId="15" xfId="0" applyFont="1" applyFill="1" applyBorder="1"/>
    <xf numFmtId="0" fontId="2" fillId="0" borderId="39" xfId="0" applyFont="1" applyBorder="1" applyAlignment="1">
      <alignment vertical="center" wrapText="1"/>
    </xf>
    <xf numFmtId="0" fontId="2" fillId="0" borderId="69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5" fillId="0" borderId="69" xfId="0" applyFont="1" applyBorder="1" applyAlignment="1">
      <alignment vertical="center" wrapText="1"/>
    </xf>
    <xf numFmtId="0" fontId="5" fillId="6" borderId="77" xfId="0" applyFont="1" applyFill="1" applyBorder="1" applyAlignment="1">
      <alignment vertical="center" wrapText="1"/>
    </xf>
    <xf numFmtId="164" fontId="2" fillId="10" borderId="71" xfId="0" applyNumberFormat="1" applyFont="1" applyFill="1" applyBorder="1"/>
    <xf numFmtId="10" fontId="5" fillId="10" borderId="70" xfId="0" applyNumberFormat="1" applyFont="1" applyFill="1" applyBorder="1"/>
    <xf numFmtId="164" fontId="2" fillId="0" borderId="40" xfId="0" applyNumberFormat="1" applyFont="1" applyBorder="1" applyAlignment="1">
      <alignment horizontal="right"/>
    </xf>
    <xf numFmtId="164" fontId="5" fillId="0" borderId="20" xfId="0" applyNumberFormat="1" applyFont="1" applyBorder="1" applyAlignment="1">
      <alignment vertical="center"/>
    </xf>
    <xf numFmtId="164" fontId="5" fillId="0" borderId="57" xfId="0" applyNumberFormat="1" applyFont="1" applyBorder="1" applyAlignment="1">
      <alignment vertical="center"/>
    </xf>
    <xf numFmtId="164" fontId="5" fillId="0" borderId="10" xfId="0" applyNumberFormat="1" applyFont="1" applyBorder="1" applyAlignment="1">
      <alignment vertical="center"/>
    </xf>
    <xf numFmtId="164" fontId="5" fillId="0" borderId="40" xfId="0" applyNumberFormat="1" applyFont="1" applyBorder="1" applyAlignment="1">
      <alignment vertical="center"/>
    </xf>
    <xf numFmtId="2" fontId="2" fillId="0" borderId="45" xfId="0" applyNumberFormat="1" applyFont="1" applyBorder="1"/>
    <xf numFmtId="0" fontId="5" fillId="0" borderId="70" xfId="0" applyFont="1" applyBorder="1"/>
    <xf numFmtId="164" fontId="2" fillId="10" borderId="71" xfId="0" applyNumberFormat="1" applyFont="1" applyFill="1" applyBorder="1" applyAlignment="1">
      <alignment horizontal="right"/>
    </xf>
    <xf numFmtId="0" fontId="5" fillId="0" borderId="69" xfId="0" applyFont="1" applyBorder="1" applyAlignment="1">
      <alignment wrapText="1"/>
    </xf>
    <xf numFmtId="0" fontId="6" fillId="0" borderId="39" xfId="0" applyFont="1" applyBorder="1" applyAlignment="1">
      <alignment wrapText="1"/>
    </xf>
    <xf numFmtId="0" fontId="6" fillId="0" borderId="10" xfId="0" applyFont="1" applyBorder="1"/>
    <xf numFmtId="164" fontId="8" fillId="0" borderId="10" xfId="0" applyNumberFormat="1" applyFont="1" applyBorder="1"/>
    <xf numFmtId="0" fontId="5" fillId="0" borderId="39" xfId="0" applyFont="1" applyBorder="1" applyAlignment="1">
      <alignment wrapText="1"/>
    </xf>
    <xf numFmtId="0" fontId="6" fillId="0" borderId="69" xfId="0" applyFont="1" applyBorder="1" applyAlignment="1">
      <alignment vertical="center" wrapText="1"/>
    </xf>
    <xf numFmtId="0" fontId="8" fillId="0" borderId="20" xfId="0" applyFont="1" applyBorder="1" applyAlignment="1">
      <alignment vertical="center"/>
    </xf>
    <xf numFmtId="0" fontId="5" fillId="6" borderId="78" xfId="0" applyFont="1" applyFill="1" applyBorder="1" applyAlignment="1">
      <alignment horizontal="left" wrapText="1"/>
    </xf>
    <xf numFmtId="10" fontId="7" fillId="0" borderId="0" xfId="0" applyNumberFormat="1" applyFont="1"/>
    <xf numFmtId="10" fontId="5" fillId="0" borderId="79" xfId="0" applyNumberFormat="1" applyFont="1" applyBorder="1"/>
    <xf numFmtId="164" fontId="2" fillId="10" borderId="72" xfId="0" applyNumberFormat="1" applyFont="1" applyFill="1" applyBorder="1" applyAlignment="1">
      <alignment horizontal="right"/>
    </xf>
    <xf numFmtId="10" fontId="5" fillId="10" borderId="79" xfId="0" applyNumberFormat="1" applyFont="1" applyFill="1" applyBorder="1"/>
    <xf numFmtId="0" fontId="2" fillId="0" borderId="69" xfId="0" applyFont="1" applyBorder="1" applyAlignment="1">
      <alignment wrapText="1"/>
    </xf>
    <xf numFmtId="0" fontId="5" fillId="0" borderId="79" xfId="0" applyFont="1" applyBorder="1"/>
    <xf numFmtId="2" fontId="2" fillId="0" borderId="57" xfId="0" applyNumberFormat="1" applyFont="1" applyBorder="1"/>
    <xf numFmtId="0" fontId="2" fillId="0" borderId="9" xfId="0" applyFont="1" applyBorder="1" applyAlignment="1">
      <alignment wrapText="1"/>
    </xf>
    <xf numFmtId="0" fontId="5" fillId="0" borderId="27" xfId="0" applyFont="1" applyBorder="1"/>
    <xf numFmtId="164" fontId="5" fillId="0" borderId="27" xfId="0" applyNumberFormat="1" applyFont="1" applyBorder="1"/>
    <xf numFmtId="2" fontId="2" fillId="0" borderId="41" xfId="0" applyNumberFormat="1" applyFont="1" applyBorder="1"/>
    <xf numFmtId="0" fontId="2" fillId="0" borderId="27" xfId="0" applyFont="1" applyBorder="1" applyAlignment="1">
      <alignment wrapText="1"/>
    </xf>
    <xf numFmtId="0" fontId="5" fillId="0" borderId="14" xfId="0" applyFont="1" applyBorder="1" applyAlignment="1">
      <alignment vertical="center" wrapText="1"/>
    </xf>
    <xf numFmtId="0" fontId="5" fillId="0" borderId="80" xfId="0" applyFont="1" applyBorder="1"/>
    <xf numFmtId="2" fontId="15" fillId="2" borderId="21" xfId="0" applyNumberFormat="1" applyFont="1" applyFill="1" applyBorder="1" applyAlignment="1">
      <alignment horizontal="center"/>
    </xf>
    <xf numFmtId="2" fontId="15" fillId="3" borderId="21" xfId="0" applyNumberFormat="1" applyFont="1" applyFill="1" applyBorder="1" applyAlignment="1">
      <alignment horizontal="center"/>
    </xf>
    <xf numFmtId="165" fontId="15" fillId="4" borderId="21" xfId="0" applyNumberFormat="1" applyFont="1" applyFill="1" applyBorder="1" applyAlignment="1">
      <alignment horizontal="center"/>
    </xf>
    <xf numFmtId="165" fontId="7" fillId="0" borderId="0" xfId="0" applyNumberFormat="1" applyFont="1"/>
    <xf numFmtId="0" fontId="16" fillId="0" borderId="0" xfId="0" applyFont="1"/>
    <xf numFmtId="165" fontId="16" fillId="0" borderId="0" xfId="0" applyNumberFormat="1" applyFont="1"/>
    <xf numFmtId="165" fontId="16" fillId="0" borderId="81" xfId="0" applyNumberFormat="1" applyFont="1" applyBorder="1"/>
    <xf numFmtId="2" fontId="15" fillId="2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165" fontId="15" fillId="4" borderId="0" xfId="0" applyNumberFormat="1" applyFont="1" applyFill="1" applyAlignment="1">
      <alignment horizontal="center"/>
    </xf>
    <xf numFmtId="0" fontId="17" fillId="12" borderId="7" xfId="0" applyFont="1" applyFill="1" applyBorder="1"/>
    <xf numFmtId="165" fontId="18" fillId="12" borderId="14" xfId="0" applyNumberFormat="1" applyFont="1" applyFill="1" applyBorder="1"/>
    <xf numFmtId="165" fontId="18" fillId="12" borderId="11" xfId="0" applyNumberFormat="1" applyFont="1" applyFill="1" applyBorder="1"/>
    <xf numFmtId="165" fontId="18" fillId="12" borderId="21" xfId="0" applyNumberFormat="1" applyFont="1" applyFill="1" applyBorder="1"/>
    <xf numFmtId="165" fontId="18" fillId="12" borderId="38" xfId="0" applyNumberFormat="1" applyFont="1" applyFill="1" applyBorder="1"/>
    <xf numFmtId="165" fontId="17" fillId="12" borderId="55" xfId="0" applyNumberFormat="1" applyFont="1" applyFill="1" applyBorder="1" applyAlignment="1">
      <alignment horizontal="center" vertical="center"/>
    </xf>
    <xf numFmtId="165" fontId="18" fillId="12" borderId="55" xfId="0" applyNumberFormat="1" applyFont="1" applyFill="1" applyBorder="1"/>
    <xf numFmtId="164" fontId="17" fillId="12" borderId="11" xfId="0" applyNumberFormat="1" applyFont="1" applyFill="1" applyBorder="1" applyAlignment="1">
      <alignment horizontal="center" vertical="center"/>
    </xf>
    <xf numFmtId="164" fontId="17" fillId="12" borderId="14" xfId="0" applyNumberFormat="1" applyFont="1" applyFill="1" applyBorder="1" applyAlignment="1">
      <alignment horizontal="center" vertical="center"/>
    </xf>
    <xf numFmtId="0" fontId="18" fillId="12" borderId="0" xfId="0" applyFont="1" applyFill="1"/>
    <xf numFmtId="0" fontId="5" fillId="0" borderId="22" xfId="0" applyFont="1" applyBorder="1" applyAlignment="1">
      <alignment vertical="center" wrapText="1"/>
    </xf>
    <xf numFmtId="0" fontId="3" fillId="0" borderId="15" xfId="0" applyFont="1" applyBorder="1"/>
    <xf numFmtId="0" fontId="5" fillId="0" borderId="13" xfId="0" applyFont="1" applyBorder="1" applyAlignment="1">
      <alignment vertical="center"/>
    </xf>
    <xf numFmtId="0" fontId="3" fillId="0" borderId="13" xfId="0" applyFont="1" applyBorder="1"/>
    <xf numFmtId="165" fontId="2" fillId="0" borderId="21" xfId="0" applyNumberFormat="1" applyFont="1" applyBorder="1" applyAlignment="1">
      <alignment horizontal="right" vertical="center"/>
    </xf>
    <xf numFmtId="165" fontId="2" fillId="0" borderId="11" xfId="0" applyNumberFormat="1" applyFont="1" applyBorder="1" applyAlignment="1">
      <alignment horizontal="right" vertical="center"/>
    </xf>
    <xf numFmtId="165" fontId="17" fillId="12" borderId="32" xfId="0" applyNumberFormat="1" applyFont="1" applyFill="1" applyBorder="1" applyAlignment="1">
      <alignment horizontal="center" vertical="center"/>
    </xf>
    <xf numFmtId="0" fontId="17" fillId="12" borderId="46" xfId="0" applyFont="1" applyFill="1" applyBorder="1"/>
    <xf numFmtId="0" fontId="17" fillId="12" borderId="51" xfId="0" applyFont="1" applyFill="1" applyBorder="1"/>
    <xf numFmtId="165" fontId="2" fillId="0" borderId="27" xfId="0" applyNumberFormat="1" applyFont="1" applyBorder="1" applyAlignment="1">
      <alignment horizontal="center" vertical="center"/>
    </xf>
    <xf numFmtId="165" fontId="2" fillId="0" borderId="62" xfId="0" applyNumberFormat="1" applyFont="1" applyBorder="1" applyAlignment="1">
      <alignment horizontal="center" vertical="center"/>
    </xf>
    <xf numFmtId="165" fontId="2" fillId="0" borderId="36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3" fillId="0" borderId="23" xfId="0" applyFont="1" applyBorder="1"/>
    <xf numFmtId="0" fontId="2" fillId="0" borderId="39" xfId="0" applyFont="1" applyBorder="1" applyAlignment="1">
      <alignment horizontal="left" vertical="center" wrapText="1"/>
    </xf>
    <xf numFmtId="0" fontId="3" fillId="0" borderId="44" xfId="0" applyFont="1" applyBorder="1"/>
    <xf numFmtId="0" fontId="3" fillId="0" borderId="50" xfId="0" applyFont="1" applyBorder="1"/>
    <xf numFmtId="0" fontId="2" fillId="0" borderId="31" xfId="0" applyFont="1" applyBorder="1" applyAlignment="1">
      <alignment horizontal="left" vertical="center" wrapText="1"/>
    </xf>
    <xf numFmtId="0" fontId="3" fillId="0" borderId="33" xfId="0" applyFont="1" applyBorder="1"/>
    <xf numFmtId="0" fontId="3" fillId="0" borderId="35" xfId="0" applyFont="1" applyBorder="1"/>
    <xf numFmtId="0" fontId="2" fillId="0" borderId="39" xfId="0" applyFont="1" applyBorder="1" applyAlignment="1">
      <alignment horizontal="left" vertical="center"/>
    </xf>
    <xf numFmtId="0" fontId="5" fillId="0" borderId="24" xfId="0" applyFont="1" applyBorder="1" applyAlignment="1">
      <alignment vertical="center"/>
    </xf>
    <xf numFmtId="0" fontId="3" fillId="0" borderId="24" xfId="0" applyFont="1" applyBorder="1"/>
    <xf numFmtId="0" fontId="3" fillId="0" borderId="11" xfId="0" applyFont="1" applyBorder="1"/>
    <xf numFmtId="0" fontId="4" fillId="0" borderId="8" xfId="0" applyFont="1" applyBorder="1" applyAlignment="1">
      <alignment horizontal="left" vertical="center"/>
    </xf>
    <xf numFmtId="0" fontId="3" fillId="0" borderId="12" xfId="0" applyFont="1" applyBorder="1"/>
    <xf numFmtId="0" fontId="3" fillId="0" borderId="18" xfId="0" applyFont="1" applyBorder="1"/>
    <xf numFmtId="0" fontId="4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vertical="center" wrapText="1"/>
    </xf>
    <xf numFmtId="0" fontId="2" fillId="6" borderId="30" xfId="0" applyFont="1" applyFill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1" xfId="0" applyFont="1" applyBorder="1" applyAlignment="1">
      <alignment vertical="center" wrapText="1"/>
    </xf>
    <xf numFmtId="0" fontId="2" fillId="6" borderId="12" xfId="0" applyFont="1" applyFill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65" fontId="2" fillId="0" borderId="21" xfId="0" applyNumberFormat="1" applyFont="1" applyBorder="1" applyAlignment="1">
      <alignment vertical="center"/>
    </xf>
    <xf numFmtId="165" fontId="2" fillId="0" borderId="11" xfId="0" applyNumberFormat="1" applyFont="1" applyBorder="1" applyAlignment="1">
      <alignment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62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5" fillId="0" borderId="27" xfId="0" applyFont="1" applyBorder="1" applyAlignment="1">
      <alignment vertical="center"/>
    </xf>
    <xf numFmtId="0" fontId="2" fillId="0" borderId="21" xfId="0" applyFont="1" applyBorder="1"/>
    <xf numFmtId="0" fontId="7" fillId="0" borderId="13" xfId="0" applyFont="1" applyBorder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3" fillId="0" borderId="19" xfId="0" applyFont="1" applyBorder="1"/>
    <xf numFmtId="165" fontId="12" fillId="0" borderId="32" xfId="0" applyNumberFormat="1" applyFont="1" applyBorder="1" applyAlignment="1">
      <alignment horizontal="center" vertical="center"/>
    </xf>
    <xf numFmtId="0" fontId="3" fillId="0" borderId="46" xfId="0" applyFont="1" applyBorder="1"/>
    <xf numFmtId="0" fontId="3" fillId="0" borderId="51" xfId="0" applyFont="1" applyBorder="1"/>
    <xf numFmtId="0" fontId="12" fillId="0" borderId="9" xfId="0" applyFont="1" applyBorder="1" applyAlignment="1">
      <alignment horizontal="left" vertical="center" wrapText="1"/>
    </xf>
    <xf numFmtId="4" fontId="12" fillId="0" borderId="32" xfId="0" applyNumberFormat="1" applyFont="1" applyBorder="1" applyAlignment="1">
      <alignment horizontal="right" vertical="center"/>
    </xf>
    <xf numFmtId="0" fontId="3" fillId="0" borderId="67" xfId="0" applyFont="1" applyBorder="1"/>
    <xf numFmtId="165" fontId="12" fillId="0" borderId="46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5" fillId="0" borderId="8" xfId="0" applyFont="1" applyBorder="1" applyAlignment="1">
      <alignment horizontal="center" vertical="center" wrapText="1"/>
    </xf>
    <xf numFmtId="2" fontId="1" fillId="8" borderId="58" xfId="0" applyNumberFormat="1" applyFont="1" applyFill="1" applyBorder="1" applyAlignment="1">
      <alignment horizontal="center" vertical="center"/>
    </xf>
    <xf numFmtId="0" fontId="3" fillId="0" borderId="59" xfId="0" applyFont="1" applyBorder="1"/>
    <xf numFmtId="2" fontId="1" fillId="2" borderId="1" xfId="0" applyNumberFormat="1" applyFont="1" applyFill="1" applyBorder="1" applyAlignment="1">
      <alignment horizontal="center" vertical="center"/>
    </xf>
    <xf numFmtId="0" fontId="3" fillId="0" borderId="3" xfId="0" applyFont="1" applyBorder="1"/>
    <xf numFmtId="2" fontId="1" fillId="3" borderId="2" xfId="0" applyNumberFormat="1" applyFont="1" applyFill="1" applyBorder="1" applyAlignment="1">
      <alignment horizontal="center" vertical="center"/>
    </xf>
    <xf numFmtId="0" fontId="3" fillId="0" borderId="4" xfId="0" applyFont="1" applyBorder="1"/>
    <xf numFmtId="0" fontId="12" fillId="0" borderId="21" xfId="0" applyFont="1" applyBorder="1"/>
    <xf numFmtId="0" fontId="3" fillId="0" borderId="36" xfId="0" applyFont="1" applyBorder="1"/>
    <xf numFmtId="0" fontId="12" fillId="0" borderId="39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49" fontId="12" fillId="0" borderId="39" xfId="0" applyNumberFormat="1" applyFont="1" applyBorder="1"/>
    <xf numFmtId="0" fontId="12" fillId="0" borderId="39" xfId="0" applyFont="1" applyBorder="1"/>
    <xf numFmtId="49" fontId="12" fillId="0" borderId="31" xfId="0" applyNumberFormat="1" applyFont="1" applyBorder="1"/>
    <xf numFmtId="0" fontId="12" fillId="0" borderId="27" xfId="0" applyFont="1" applyBorder="1"/>
    <xf numFmtId="49" fontId="12" fillId="0" borderId="69" xfId="0" applyNumberFormat="1" applyFont="1" applyBorder="1"/>
    <xf numFmtId="0" fontId="12" fillId="0" borderId="9" xfId="0" applyFont="1" applyBorder="1" applyAlignment="1">
      <alignment wrapText="1"/>
    </xf>
    <xf numFmtId="0" fontId="15" fillId="5" borderId="52" xfId="0" applyFont="1" applyFill="1" applyBorder="1" applyAlignment="1">
      <alignment horizontal="center" wrapText="1"/>
    </xf>
    <xf numFmtId="0" fontId="3" fillId="0" borderId="5" xfId="0" applyFont="1" applyBorder="1"/>
    <xf numFmtId="0" fontId="3" fillId="0" borderId="6" xfId="0" applyFont="1" applyBorder="1"/>
    <xf numFmtId="0" fontId="5" fillId="6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U1639"/>
  <sheetViews>
    <sheetView zoomScale="150" zoomScaleNormal="150" workbookViewId="0">
      <pane ySplit="1" topLeftCell="A37" activePane="bottomLeft" state="frozen"/>
      <selection pane="bottomLeft" activeCell="A19" sqref="A19:A37"/>
    </sheetView>
  </sheetViews>
  <sheetFormatPr baseColWidth="10" defaultColWidth="12.5" defaultRowHeight="15" customHeight="1" x14ac:dyDescent="0.15"/>
  <cols>
    <col min="1" max="1" width="28.1640625" customWidth="1"/>
    <col min="2" max="2" width="44.1640625" customWidth="1"/>
    <col min="3" max="3" width="49" customWidth="1"/>
    <col min="4" max="4" width="31.1640625" customWidth="1"/>
    <col min="5" max="5" width="18.6640625" bestFit="1" customWidth="1"/>
    <col min="6" max="6" width="19" customWidth="1"/>
    <col min="7" max="7" width="12.5" style="364"/>
    <col min="9" max="9" width="19" customWidth="1"/>
  </cols>
  <sheetData>
    <row r="1" spans="1:21" ht="14" thickBot="1" x14ac:dyDescent="0.2">
      <c r="A1" s="1"/>
      <c r="B1" s="2"/>
      <c r="C1" s="3" t="s">
        <v>2</v>
      </c>
      <c r="D1" s="3" t="s">
        <v>3</v>
      </c>
      <c r="E1" s="3"/>
      <c r="F1" s="5"/>
      <c r="G1" s="355" t="s">
        <v>958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3" hidden="1" x14ac:dyDescent="0.15">
      <c r="A2" s="400" t="s">
        <v>6</v>
      </c>
      <c r="B2" s="402" t="s">
        <v>7</v>
      </c>
      <c r="C2" s="7" t="s">
        <v>8</v>
      </c>
      <c r="D2" s="8"/>
      <c r="E2" s="8"/>
      <c r="F2" s="10">
        <v>1.99</v>
      </c>
      <c r="G2" s="11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3" hidden="1" x14ac:dyDescent="0.15">
      <c r="A3" s="390"/>
      <c r="B3" s="368"/>
      <c r="C3" s="12" t="s">
        <v>9</v>
      </c>
      <c r="D3" s="12"/>
      <c r="E3" s="12"/>
      <c r="F3" s="14">
        <v>1.99</v>
      </c>
      <c r="G3" s="15">
        <v>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3" hidden="1" x14ac:dyDescent="0.15">
      <c r="A4" s="390"/>
      <c r="B4" s="368"/>
      <c r="C4" s="12" t="s">
        <v>10</v>
      </c>
      <c r="D4" s="12"/>
      <c r="E4" s="12"/>
      <c r="F4" s="14">
        <v>1.99</v>
      </c>
      <c r="G4" s="15">
        <v>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3" hidden="1" x14ac:dyDescent="0.15">
      <c r="A5" s="390"/>
      <c r="B5" s="368"/>
      <c r="C5" s="12" t="s">
        <v>11</v>
      </c>
      <c r="D5" s="12"/>
      <c r="E5" s="12"/>
      <c r="F5" s="14">
        <v>1.99</v>
      </c>
      <c r="G5" s="15">
        <v>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3" hidden="1" x14ac:dyDescent="0.15">
      <c r="A6" s="390"/>
      <c r="B6" s="368"/>
      <c r="C6" s="12" t="s">
        <v>12</v>
      </c>
      <c r="D6" s="12"/>
      <c r="E6" s="12"/>
      <c r="F6" s="14">
        <v>1.99</v>
      </c>
      <c r="G6" s="15"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3" hidden="1" x14ac:dyDescent="0.15">
      <c r="A7" s="390"/>
      <c r="B7" s="368"/>
      <c r="C7" s="12" t="s">
        <v>13</v>
      </c>
      <c r="D7" s="12"/>
      <c r="E7" s="12"/>
      <c r="F7" s="14">
        <v>1.99</v>
      </c>
      <c r="G7" s="15">
        <v>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3" hidden="1" x14ac:dyDescent="0.15">
      <c r="A8" s="390"/>
      <c r="B8" s="368"/>
      <c r="C8" s="12" t="s">
        <v>14</v>
      </c>
      <c r="D8" s="12"/>
      <c r="E8" s="12"/>
      <c r="F8" s="14">
        <v>1.99</v>
      </c>
      <c r="G8" s="15"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3" hidden="1" x14ac:dyDescent="0.15">
      <c r="A9" s="390"/>
      <c r="B9" s="368"/>
      <c r="C9" s="12" t="s">
        <v>15</v>
      </c>
      <c r="D9" s="12"/>
      <c r="E9" s="12"/>
      <c r="F9" s="14">
        <v>1.99</v>
      </c>
      <c r="G9" s="15"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3" hidden="1" x14ac:dyDescent="0.15">
      <c r="A10" s="390"/>
      <c r="B10" s="368"/>
      <c r="C10" s="12" t="s">
        <v>16</v>
      </c>
      <c r="D10" s="12"/>
      <c r="E10" s="12"/>
      <c r="F10" s="14">
        <v>1.99</v>
      </c>
      <c r="G10" s="15"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3" hidden="1" x14ac:dyDescent="0.15">
      <c r="A11" s="390"/>
      <c r="B11" s="368"/>
      <c r="C11" s="12" t="s">
        <v>17</v>
      </c>
      <c r="D11" s="12"/>
      <c r="E11" s="12"/>
      <c r="F11" s="14">
        <v>1.99</v>
      </c>
      <c r="G11" s="15"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3" hidden="1" x14ac:dyDescent="0.15">
      <c r="A12" s="390"/>
      <c r="B12" s="368"/>
      <c r="C12" s="12" t="s">
        <v>18</v>
      </c>
      <c r="D12" s="12"/>
      <c r="E12" s="12"/>
      <c r="F12" s="14">
        <v>1.99</v>
      </c>
      <c r="G12" s="15"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3" hidden="1" x14ac:dyDescent="0.15">
      <c r="A13" s="390"/>
      <c r="B13" s="368"/>
      <c r="C13" s="12" t="s">
        <v>19</v>
      </c>
      <c r="D13" s="12"/>
      <c r="E13" s="12"/>
      <c r="F13" s="14">
        <v>1.99</v>
      </c>
      <c r="G13" s="15"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3" hidden="1" x14ac:dyDescent="0.15">
      <c r="A14" s="390"/>
      <c r="B14" s="366"/>
      <c r="C14" s="12" t="s">
        <v>20</v>
      </c>
      <c r="D14" s="12"/>
      <c r="E14" s="12"/>
      <c r="F14" s="14">
        <v>1.99</v>
      </c>
      <c r="G14" s="15"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4" hidden="1" x14ac:dyDescent="0.15">
      <c r="A15" s="390"/>
      <c r="B15" s="16" t="s">
        <v>21</v>
      </c>
      <c r="C15" s="12"/>
      <c r="D15" s="12"/>
      <c r="E15" s="12"/>
      <c r="F15" s="14">
        <v>3.49</v>
      </c>
      <c r="G15" s="15"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4" hidden="1" x14ac:dyDescent="0.15">
      <c r="A16" s="390"/>
      <c r="B16" s="16" t="s">
        <v>22</v>
      </c>
      <c r="C16" s="12" t="s">
        <v>23</v>
      </c>
      <c r="D16" s="12"/>
      <c r="E16" s="12"/>
      <c r="F16" s="14">
        <v>3.25</v>
      </c>
      <c r="G16" s="15"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3" hidden="1" x14ac:dyDescent="0.15">
      <c r="A17" s="390"/>
      <c r="B17" s="413" t="s">
        <v>24</v>
      </c>
      <c r="C17" s="12" t="s">
        <v>25</v>
      </c>
      <c r="D17" s="12"/>
      <c r="E17" s="12"/>
      <c r="F17" s="18">
        <v>2.25</v>
      </c>
      <c r="G17" s="15"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4" hidden="1" thickBot="1" x14ac:dyDescent="0.2">
      <c r="A18" s="391"/>
      <c r="B18" s="414"/>
      <c r="C18" s="19" t="s">
        <v>26</v>
      </c>
      <c r="D18" s="12"/>
      <c r="E18" s="20"/>
      <c r="F18" s="14">
        <v>2.25</v>
      </c>
      <c r="G18" s="15"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3" hidden="1" x14ac:dyDescent="0.15">
      <c r="A19" s="400" t="s">
        <v>27</v>
      </c>
      <c r="B19" s="402" t="s">
        <v>28</v>
      </c>
      <c r="C19" s="7" t="s">
        <v>16</v>
      </c>
      <c r="D19" s="12"/>
      <c r="E19" s="12"/>
      <c r="F19" s="14">
        <v>3.89</v>
      </c>
      <c r="G19" s="15"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3" hidden="1" x14ac:dyDescent="0.15">
      <c r="A20" s="390"/>
      <c r="B20" s="368"/>
      <c r="C20" s="12" t="s">
        <v>18</v>
      </c>
      <c r="D20" s="12"/>
      <c r="E20" s="12"/>
      <c r="F20" s="14">
        <v>3.89</v>
      </c>
      <c r="G20" s="15"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3" hidden="1" x14ac:dyDescent="0.15">
      <c r="A21" s="390"/>
      <c r="B21" s="368"/>
      <c r="C21" s="12" t="s">
        <v>20</v>
      </c>
      <c r="D21" s="12"/>
      <c r="E21" s="12"/>
      <c r="F21" s="14">
        <v>3.89</v>
      </c>
      <c r="G21" s="15"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4.25" hidden="1" customHeight="1" thickBot="1" x14ac:dyDescent="0.2">
      <c r="A22" s="390"/>
      <c r="B22" s="368"/>
      <c r="C22" s="12" t="s">
        <v>29</v>
      </c>
      <c r="D22" s="12"/>
      <c r="E22" s="12"/>
      <c r="F22" s="14">
        <v>3.89</v>
      </c>
      <c r="G22" s="15"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3" hidden="1" x14ac:dyDescent="0.15">
      <c r="A23" s="390"/>
      <c r="B23" s="366"/>
      <c r="C23" s="12" t="s">
        <v>30</v>
      </c>
      <c r="D23" s="12"/>
      <c r="E23" s="12"/>
      <c r="F23" s="14">
        <v>3.89</v>
      </c>
      <c r="G23" s="15"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3" hidden="1" x14ac:dyDescent="0.15">
      <c r="A24" s="390"/>
      <c r="B24" s="401" t="s">
        <v>31</v>
      </c>
      <c r="C24" s="12" t="s">
        <v>16</v>
      </c>
      <c r="D24" s="12"/>
      <c r="E24" s="12"/>
      <c r="F24" s="14">
        <v>3.89</v>
      </c>
      <c r="G24" s="15"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3" hidden="1" x14ac:dyDescent="0.15">
      <c r="A25" s="390"/>
      <c r="B25" s="368"/>
      <c r="C25" s="12" t="s">
        <v>18</v>
      </c>
      <c r="D25" s="12"/>
      <c r="E25" s="12"/>
      <c r="F25" s="14">
        <v>3.89</v>
      </c>
      <c r="G25" s="15"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3" hidden="1" x14ac:dyDescent="0.15">
      <c r="A26" s="390"/>
      <c r="B26" s="368"/>
      <c r="C26" s="12" t="s">
        <v>20</v>
      </c>
      <c r="D26" s="12"/>
      <c r="E26" s="12"/>
      <c r="F26" s="14">
        <v>3.89</v>
      </c>
      <c r="G26" s="15"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3" hidden="1" x14ac:dyDescent="0.15">
      <c r="A27" s="390"/>
      <c r="B27" s="368"/>
      <c r="C27" s="12" t="s">
        <v>32</v>
      </c>
      <c r="D27" s="12"/>
      <c r="E27" s="12"/>
      <c r="F27" s="14">
        <v>3.89</v>
      </c>
      <c r="G27" s="15"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3" hidden="1" x14ac:dyDescent="0.15">
      <c r="A28" s="390"/>
      <c r="B28" s="368"/>
      <c r="C28" s="20" t="s">
        <v>30</v>
      </c>
      <c r="D28" s="20"/>
      <c r="E28" s="20"/>
      <c r="F28" s="14">
        <v>3.89</v>
      </c>
      <c r="G28" s="15"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3" hidden="1" x14ac:dyDescent="0.15">
      <c r="A29" s="390"/>
      <c r="B29" s="368"/>
      <c r="C29" s="21" t="s">
        <v>33</v>
      </c>
      <c r="D29" s="21"/>
      <c r="E29" s="21"/>
      <c r="F29" s="14">
        <v>3.89</v>
      </c>
      <c r="G29" s="15"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3" hidden="1" x14ac:dyDescent="0.15">
      <c r="A30" s="390"/>
      <c r="B30" s="366"/>
      <c r="C30" s="22" t="s">
        <v>34</v>
      </c>
      <c r="D30" s="22"/>
      <c r="E30" s="22"/>
      <c r="F30" s="14">
        <v>3.89</v>
      </c>
      <c r="G30" s="1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3" hidden="1" x14ac:dyDescent="0.15">
      <c r="A31" s="390"/>
      <c r="B31" s="401" t="s">
        <v>35</v>
      </c>
      <c r="C31" s="8" t="s">
        <v>36</v>
      </c>
      <c r="D31" s="8"/>
      <c r="E31" s="8"/>
      <c r="F31" s="14">
        <v>2.99</v>
      </c>
      <c r="G31" s="15"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3" hidden="1" x14ac:dyDescent="0.15">
      <c r="A32" s="390"/>
      <c r="B32" s="368"/>
      <c r="C32" s="12" t="s">
        <v>37</v>
      </c>
      <c r="D32" s="12"/>
      <c r="E32" s="12"/>
      <c r="F32" s="14">
        <v>2.99</v>
      </c>
      <c r="G32" s="15"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3" hidden="1" x14ac:dyDescent="0.15">
      <c r="A33" s="390"/>
      <c r="B33" s="366"/>
      <c r="C33" s="12" t="s">
        <v>18</v>
      </c>
      <c r="D33" s="12"/>
      <c r="E33" s="21"/>
      <c r="F33" s="14">
        <v>2.99</v>
      </c>
      <c r="G33" s="15"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3" hidden="1" x14ac:dyDescent="0.15">
      <c r="A34" s="390"/>
      <c r="B34" s="401" t="s">
        <v>38</v>
      </c>
      <c r="C34" s="12" t="s">
        <v>16</v>
      </c>
      <c r="D34" s="21"/>
      <c r="E34" s="21"/>
      <c r="F34" s="14">
        <v>3.99</v>
      </c>
      <c r="G34" s="15"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3" hidden="1" x14ac:dyDescent="0.15">
      <c r="A35" s="390"/>
      <c r="B35" s="366"/>
      <c r="C35" s="12" t="s">
        <v>8</v>
      </c>
      <c r="D35" s="21"/>
      <c r="E35" s="20"/>
      <c r="F35" s="14">
        <v>3.99</v>
      </c>
      <c r="G35" s="15"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3" hidden="1" x14ac:dyDescent="0.15">
      <c r="A36" s="390"/>
      <c r="B36" s="401" t="s">
        <v>39</v>
      </c>
      <c r="C36" s="12" t="s">
        <v>40</v>
      </c>
      <c r="D36" s="20"/>
      <c r="E36" s="21"/>
      <c r="F36" s="18">
        <v>4.8899999999999997</v>
      </c>
      <c r="G36" s="15"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4" thickBot="1" x14ac:dyDescent="0.2">
      <c r="A37" s="391"/>
      <c r="B37" s="378"/>
      <c r="C37" s="19" t="s">
        <v>41</v>
      </c>
      <c r="D37" s="21"/>
      <c r="E37" s="21"/>
      <c r="F37" s="18">
        <v>23.99</v>
      </c>
      <c r="G37" s="356">
        <f>F37*1.04</f>
        <v>24.9496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4" hidden="1" thickBot="1" x14ac:dyDescent="0.2">
      <c r="A38" s="400" t="s">
        <v>42</v>
      </c>
      <c r="B38" s="402" t="s">
        <v>43</v>
      </c>
      <c r="C38" s="7" t="s">
        <v>19</v>
      </c>
      <c r="D38" s="21"/>
      <c r="E38" s="20"/>
      <c r="F38" s="14">
        <v>1.49</v>
      </c>
      <c r="G38" s="15"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4" hidden="1" thickBot="1" x14ac:dyDescent="0.2">
      <c r="A39" s="390"/>
      <c r="B39" s="368"/>
      <c r="C39" s="21" t="s">
        <v>18</v>
      </c>
      <c r="D39" s="20"/>
      <c r="E39" s="21"/>
      <c r="F39" s="14">
        <v>1.49</v>
      </c>
      <c r="G39" s="15"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5" hidden="1" customHeight="1" x14ac:dyDescent="0.15">
      <c r="A40" s="390"/>
      <c r="B40" s="368"/>
      <c r="C40" s="21" t="s">
        <v>44</v>
      </c>
      <c r="D40" s="21"/>
      <c r="E40" s="21"/>
      <c r="F40" s="14">
        <v>1.49</v>
      </c>
      <c r="G40" s="15"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4" hidden="1" thickBot="1" x14ac:dyDescent="0.2">
      <c r="A41" s="390"/>
      <c r="B41" s="368"/>
      <c r="C41" s="21" t="s">
        <v>45</v>
      </c>
      <c r="D41" s="21"/>
      <c r="E41" s="20"/>
      <c r="F41" s="14">
        <v>1.49</v>
      </c>
      <c r="G41" s="15"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4" hidden="1" thickBot="1" x14ac:dyDescent="0.2">
      <c r="A42" s="390"/>
      <c r="B42" s="368"/>
      <c r="C42" s="21" t="s">
        <v>36</v>
      </c>
      <c r="D42" s="20"/>
      <c r="E42" s="21"/>
      <c r="F42" s="14">
        <v>1.49</v>
      </c>
      <c r="G42" s="15"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4" hidden="1" thickBot="1" x14ac:dyDescent="0.2">
      <c r="A43" s="390"/>
      <c r="B43" s="366"/>
      <c r="C43" s="21" t="s">
        <v>46</v>
      </c>
      <c r="D43" s="21"/>
      <c r="E43" s="21"/>
      <c r="F43" s="14">
        <v>1.49</v>
      </c>
      <c r="G43" s="15"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4" hidden="1" thickBot="1" x14ac:dyDescent="0.2">
      <c r="A44" s="390"/>
      <c r="B44" s="401" t="s">
        <v>47</v>
      </c>
      <c r="C44" s="20" t="s">
        <v>18</v>
      </c>
      <c r="D44" s="21"/>
      <c r="E44" s="20"/>
      <c r="F44" s="14">
        <v>1.99</v>
      </c>
      <c r="G44" s="1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14" hidden="1" thickBot="1" x14ac:dyDescent="0.2">
      <c r="A45" s="390"/>
      <c r="B45" s="368"/>
      <c r="C45" s="23" t="s">
        <v>16</v>
      </c>
      <c r="D45" s="20"/>
      <c r="E45" s="21"/>
      <c r="F45" s="14">
        <v>1.99</v>
      </c>
      <c r="G45" s="1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4" hidden="1" thickBot="1" x14ac:dyDescent="0.2">
      <c r="A46" s="390"/>
      <c r="B46" s="368"/>
      <c r="C46" s="19" t="s">
        <v>19</v>
      </c>
      <c r="D46" s="21"/>
      <c r="E46" s="21"/>
      <c r="F46" s="14">
        <v>1.99</v>
      </c>
      <c r="G46" s="15"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4" hidden="1" thickBot="1" x14ac:dyDescent="0.2">
      <c r="A47" s="391"/>
      <c r="B47" s="378"/>
      <c r="C47" s="24" t="s">
        <v>45</v>
      </c>
      <c r="D47" s="21"/>
      <c r="E47" s="20"/>
      <c r="F47" s="14">
        <v>1.99</v>
      </c>
      <c r="G47" s="1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4" hidden="1" thickBot="1" x14ac:dyDescent="0.2">
      <c r="A48" s="412" t="s">
        <v>48</v>
      </c>
      <c r="B48" s="402" t="s">
        <v>49</v>
      </c>
      <c r="C48" s="25" t="s">
        <v>50</v>
      </c>
      <c r="D48" s="20"/>
      <c r="E48" s="21"/>
      <c r="F48" s="14">
        <v>1.99</v>
      </c>
      <c r="G48" s="15"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4" hidden="1" thickBot="1" x14ac:dyDescent="0.2">
      <c r="A49" s="390"/>
      <c r="B49" s="366"/>
      <c r="C49" s="12" t="s">
        <v>51</v>
      </c>
      <c r="D49" s="21"/>
      <c r="E49" s="20"/>
      <c r="F49" s="14">
        <v>3.85</v>
      </c>
      <c r="G49" s="15"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idden="1" thickBot="1" x14ac:dyDescent="0.2">
      <c r="A50" s="391"/>
      <c r="B50" s="26" t="s">
        <v>52</v>
      </c>
      <c r="C50" s="27" t="s">
        <v>51</v>
      </c>
      <c r="D50" s="21"/>
      <c r="E50" s="21"/>
      <c r="F50" s="14">
        <v>3.39</v>
      </c>
      <c r="G50" s="15"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4" hidden="1" thickBot="1" x14ac:dyDescent="0.2">
      <c r="A51" s="393" t="s">
        <v>53</v>
      </c>
      <c r="B51" s="402" t="s">
        <v>54</v>
      </c>
      <c r="C51" s="7" t="s">
        <v>36</v>
      </c>
      <c r="D51" s="20"/>
      <c r="E51" s="8"/>
      <c r="F51" s="14">
        <v>2.89</v>
      </c>
      <c r="G51" s="15"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14.25" hidden="1" customHeight="1" x14ac:dyDescent="0.15">
      <c r="A52" s="390"/>
      <c r="B52" s="366"/>
      <c r="C52" s="21" t="s">
        <v>55</v>
      </c>
      <c r="D52" s="21"/>
      <c r="E52" s="21"/>
      <c r="F52" s="14">
        <v>2.89</v>
      </c>
      <c r="G52" s="15"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4" hidden="1" thickBot="1" x14ac:dyDescent="0.2">
      <c r="A53" s="390"/>
      <c r="B53" s="401" t="s">
        <v>56</v>
      </c>
      <c r="C53" s="21" t="s">
        <v>36</v>
      </c>
      <c r="D53" s="21" t="s">
        <v>36</v>
      </c>
      <c r="E53" s="21"/>
      <c r="F53" s="14">
        <v>3.89</v>
      </c>
      <c r="G53" s="15"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14" hidden="1" thickBot="1" x14ac:dyDescent="0.2">
      <c r="A54" s="390"/>
      <c r="B54" s="366"/>
      <c r="C54" s="21" t="s">
        <v>57</v>
      </c>
      <c r="D54" s="21" t="s">
        <v>57</v>
      </c>
      <c r="E54" s="21"/>
      <c r="F54" s="14">
        <v>3.89</v>
      </c>
      <c r="G54" s="1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idden="1" thickBot="1" x14ac:dyDescent="0.2">
      <c r="A55" s="390"/>
      <c r="B55" s="16" t="s">
        <v>58</v>
      </c>
      <c r="C55" s="21"/>
      <c r="D55" s="21"/>
      <c r="E55" s="21"/>
      <c r="F55" s="14">
        <v>2.4900000000000002</v>
      </c>
      <c r="G55" s="15"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idden="1" thickBot="1" x14ac:dyDescent="0.2">
      <c r="A56" s="390"/>
      <c r="B56" s="16" t="s">
        <v>59</v>
      </c>
      <c r="C56" s="21"/>
      <c r="D56" s="21"/>
      <c r="E56" s="21"/>
      <c r="F56" s="14">
        <v>1.69</v>
      </c>
      <c r="G56" s="15"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idden="1" thickBot="1" x14ac:dyDescent="0.2">
      <c r="A57" s="390"/>
      <c r="B57" s="29" t="s">
        <v>60</v>
      </c>
      <c r="C57" s="30"/>
      <c r="D57" s="21"/>
      <c r="E57" s="21"/>
      <c r="F57" s="14">
        <v>1.69</v>
      </c>
      <c r="G57" s="1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4" hidden="1" thickBot="1" x14ac:dyDescent="0.2">
      <c r="A58" s="390"/>
      <c r="B58" s="401" t="s">
        <v>61</v>
      </c>
      <c r="C58" s="410" t="s">
        <v>62</v>
      </c>
      <c r="D58" s="21" t="s">
        <v>63</v>
      </c>
      <c r="E58" s="21"/>
      <c r="F58" s="14">
        <v>1.39</v>
      </c>
      <c r="G58" s="1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4" hidden="1" thickBot="1" x14ac:dyDescent="0.2">
      <c r="A59" s="390"/>
      <c r="B59" s="368"/>
      <c r="C59" s="387"/>
      <c r="D59" s="21" t="s">
        <v>64</v>
      </c>
      <c r="E59" s="21"/>
      <c r="F59" s="14">
        <v>1.39</v>
      </c>
      <c r="G59" s="1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4" hidden="1" thickBot="1" x14ac:dyDescent="0.2">
      <c r="A60" s="390"/>
      <c r="B60" s="368"/>
      <c r="C60" s="388"/>
      <c r="D60" s="21" t="s">
        <v>65</v>
      </c>
      <c r="E60" s="21"/>
      <c r="F60" s="14">
        <v>1.39</v>
      </c>
      <c r="G60" s="1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4" hidden="1" thickBot="1" x14ac:dyDescent="0.2">
      <c r="A61" s="391"/>
      <c r="B61" s="366"/>
      <c r="C61" s="22" t="s">
        <v>66</v>
      </c>
      <c r="D61" s="21"/>
      <c r="E61" s="21"/>
      <c r="F61" s="14">
        <v>13.99</v>
      </c>
      <c r="G61" s="1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3" x14ac:dyDescent="0.15">
      <c r="A62" s="400" t="s">
        <v>67</v>
      </c>
      <c r="B62" s="402" t="s">
        <v>68</v>
      </c>
      <c r="C62" s="411" t="s">
        <v>69</v>
      </c>
      <c r="D62" s="25" t="s">
        <v>8</v>
      </c>
      <c r="E62" s="12"/>
      <c r="F62" s="14">
        <v>21.99</v>
      </c>
      <c r="G62" s="356">
        <f>F62*1.04</f>
        <v>22.869599999999998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3" x14ac:dyDescent="0.15">
      <c r="A63" s="390"/>
      <c r="B63" s="368"/>
      <c r="C63" s="368"/>
      <c r="D63" s="21" t="s">
        <v>9</v>
      </c>
      <c r="E63" s="21"/>
      <c r="F63" s="14">
        <v>21.99</v>
      </c>
      <c r="G63" s="356">
        <f>F63*1.04</f>
        <v>22.869599999999998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3" x14ac:dyDescent="0.15">
      <c r="A64" s="390"/>
      <c r="B64" s="368"/>
      <c r="C64" s="368"/>
      <c r="D64" s="21" t="s">
        <v>10</v>
      </c>
      <c r="E64" s="21"/>
      <c r="F64" s="14">
        <v>21.99</v>
      </c>
      <c r="G64" s="356">
        <f>F64*1.04</f>
        <v>22.869599999999998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3" x14ac:dyDescent="0.15">
      <c r="A65" s="390"/>
      <c r="B65" s="368"/>
      <c r="C65" s="368"/>
      <c r="D65" s="21" t="s">
        <v>16</v>
      </c>
      <c r="E65" s="21"/>
      <c r="F65" s="14">
        <v>21.99</v>
      </c>
      <c r="G65" s="356">
        <f>F65*1.04</f>
        <v>22.869599999999998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3" hidden="1" x14ac:dyDescent="0.15">
      <c r="A66" s="390"/>
      <c r="B66" s="368"/>
      <c r="C66" s="368"/>
      <c r="D66" s="21" t="s">
        <v>70</v>
      </c>
      <c r="E66" s="21"/>
      <c r="F66" s="14"/>
      <c r="G66" s="1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3" hidden="1" x14ac:dyDescent="0.15">
      <c r="A67" s="390"/>
      <c r="B67" s="368"/>
      <c r="C67" s="368"/>
      <c r="D67" s="21" t="s">
        <v>71</v>
      </c>
      <c r="E67" s="21"/>
      <c r="F67" s="14"/>
      <c r="G67" s="1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13" hidden="1" x14ac:dyDescent="0.15">
      <c r="A68" s="390"/>
      <c r="B68" s="368"/>
      <c r="C68" s="368"/>
      <c r="D68" s="21" t="s">
        <v>72</v>
      </c>
      <c r="E68" s="21"/>
      <c r="F68" s="14"/>
      <c r="G68" s="1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3" hidden="1" x14ac:dyDescent="0.15">
      <c r="A69" s="390"/>
      <c r="B69" s="368"/>
      <c r="C69" s="368"/>
      <c r="D69" s="21" t="s">
        <v>73</v>
      </c>
      <c r="E69" s="21"/>
      <c r="F69" s="14"/>
      <c r="G69" s="1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3" hidden="1" x14ac:dyDescent="0.15">
      <c r="A70" s="390"/>
      <c r="B70" s="368"/>
      <c r="C70" s="368"/>
      <c r="D70" s="21" t="s">
        <v>18</v>
      </c>
      <c r="E70" s="21"/>
      <c r="F70" s="14"/>
      <c r="G70" s="1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3" hidden="1" x14ac:dyDescent="0.15">
      <c r="A71" s="390"/>
      <c r="B71" s="368"/>
      <c r="C71" s="368"/>
      <c r="D71" s="21" t="s">
        <v>12</v>
      </c>
      <c r="E71" s="21"/>
      <c r="F71" s="14"/>
      <c r="G71" s="1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3" hidden="1" x14ac:dyDescent="0.15">
      <c r="A72" s="390"/>
      <c r="B72" s="368"/>
      <c r="C72" s="368"/>
      <c r="D72" s="21" t="s">
        <v>15</v>
      </c>
      <c r="E72" s="21"/>
      <c r="F72" s="14"/>
      <c r="G72" s="1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3" hidden="1" x14ac:dyDescent="0.15">
      <c r="A73" s="390"/>
      <c r="B73" s="366"/>
      <c r="C73" s="366"/>
      <c r="D73" s="21" t="s">
        <v>74</v>
      </c>
      <c r="E73" s="21"/>
      <c r="F73" s="14"/>
      <c r="G73" s="1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3" x14ac:dyDescent="0.15">
      <c r="A74" s="390"/>
      <c r="B74" s="401" t="s">
        <v>75</v>
      </c>
      <c r="C74" s="21" t="s">
        <v>76</v>
      </c>
      <c r="D74" s="21"/>
      <c r="E74" s="21"/>
      <c r="F74" s="14">
        <v>42.99</v>
      </c>
      <c r="G74" s="356">
        <f t="shared" ref="G74:G81" si="0">F74*1.04</f>
        <v>44.709600000000002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13" x14ac:dyDescent="0.15">
      <c r="A75" s="390"/>
      <c r="B75" s="366"/>
      <c r="C75" s="12" t="s">
        <v>77</v>
      </c>
      <c r="D75" s="12"/>
      <c r="E75" s="12"/>
      <c r="F75" s="14">
        <v>42.99</v>
      </c>
      <c r="G75" s="356">
        <f t="shared" si="0"/>
        <v>44.709600000000002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3" x14ac:dyDescent="0.15">
      <c r="A76" s="390"/>
      <c r="B76" s="401" t="s">
        <v>78</v>
      </c>
      <c r="C76" s="21" t="s">
        <v>79</v>
      </c>
      <c r="D76" s="21"/>
      <c r="E76" s="21"/>
      <c r="F76" s="14">
        <v>16.489999999999998</v>
      </c>
      <c r="G76" s="356">
        <f t="shared" si="0"/>
        <v>17.1496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3" x14ac:dyDescent="0.15">
      <c r="A77" s="390"/>
      <c r="B77" s="366"/>
      <c r="C77" s="21" t="s">
        <v>80</v>
      </c>
      <c r="D77" s="21"/>
      <c r="E77" s="21"/>
      <c r="F77" s="14">
        <v>19.989999999999998</v>
      </c>
      <c r="G77" s="356">
        <f t="shared" si="0"/>
        <v>20.7896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3" x14ac:dyDescent="0.15">
      <c r="A78" s="390"/>
      <c r="B78" s="401" t="s">
        <v>81</v>
      </c>
      <c r="C78" s="21" t="s">
        <v>82</v>
      </c>
      <c r="D78" s="21"/>
      <c r="E78" s="21"/>
      <c r="F78" s="369">
        <v>31.99</v>
      </c>
      <c r="G78" s="356">
        <f t="shared" si="0"/>
        <v>33.269599999999997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13" hidden="1" x14ac:dyDescent="0.15">
      <c r="A79" s="390"/>
      <c r="B79" s="366"/>
      <c r="C79" s="21" t="s">
        <v>83</v>
      </c>
      <c r="D79" s="21"/>
      <c r="E79" s="21"/>
      <c r="F79" s="370"/>
      <c r="G79" s="15">
        <f t="shared" si="0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3" x14ac:dyDescent="0.15">
      <c r="A80" s="390"/>
      <c r="B80" s="21" t="s">
        <v>84</v>
      </c>
      <c r="C80" s="21" t="s">
        <v>85</v>
      </c>
      <c r="D80" s="21"/>
      <c r="E80" s="21"/>
      <c r="F80" s="17">
        <v>37.99</v>
      </c>
      <c r="G80" s="356">
        <f t="shared" si="0"/>
        <v>39.509600000000006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4" thickBot="1" x14ac:dyDescent="0.2">
      <c r="A81" s="391"/>
      <c r="B81" s="21" t="s">
        <v>86</v>
      </c>
      <c r="C81" s="21" t="s">
        <v>87</v>
      </c>
      <c r="D81" s="21"/>
      <c r="E81" s="21"/>
      <c r="F81" s="17">
        <v>35.99</v>
      </c>
      <c r="G81" s="356">
        <f t="shared" si="0"/>
        <v>37.429600000000001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idden="1" thickBot="1" x14ac:dyDescent="0.2">
      <c r="A82" s="400" t="s">
        <v>88</v>
      </c>
      <c r="B82" s="33" t="s">
        <v>89</v>
      </c>
      <c r="C82" s="25"/>
      <c r="D82" s="22"/>
      <c r="E82" s="22"/>
      <c r="F82" s="14">
        <v>2.79</v>
      </c>
      <c r="G82" s="15"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idden="1" thickBot="1" x14ac:dyDescent="0.2">
      <c r="A83" s="390"/>
      <c r="B83" s="16" t="s">
        <v>90</v>
      </c>
      <c r="C83" s="21"/>
      <c r="D83" s="21"/>
      <c r="E83" s="21"/>
      <c r="F83" s="14">
        <v>5.49</v>
      </c>
      <c r="G83" s="15"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4" hidden="1" thickBot="1" x14ac:dyDescent="0.2">
      <c r="A84" s="390"/>
      <c r="B84" s="401" t="s">
        <v>91</v>
      </c>
      <c r="C84" s="21" t="s">
        <v>92</v>
      </c>
      <c r="D84" s="21"/>
      <c r="E84" s="21"/>
      <c r="F84" s="14">
        <v>4.99</v>
      </c>
      <c r="G84" s="15"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14" hidden="1" thickBot="1" x14ac:dyDescent="0.2">
      <c r="A85" s="391"/>
      <c r="B85" s="378"/>
      <c r="C85" s="34" t="s">
        <v>93</v>
      </c>
      <c r="D85" s="23"/>
      <c r="E85" s="23"/>
      <c r="F85" s="36">
        <v>5.49</v>
      </c>
      <c r="G85" s="37"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29" hidden="1" thickBot="1" x14ac:dyDescent="0.2">
      <c r="A86" s="400" t="s">
        <v>94</v>
      </c>
      <c r="B86" s="33" t="s">
        <v>95</v>
      </c>
      <c r="C86" s="25"/>
      <c r="D86" s="22"/>
      <c r="E86" s="22"/>
      <c r="F86" s="14">
        <v>10.29</v>
      </c>
      <c r="G86" s="15"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idden="1" thickBot="1" x14ac:dyDescent="0.2">
      <c r="A87" s="390"/>
      <c r="B87" s="16" t="s">
        <v>96</v>
      </c>
      <c r="C87" s="21"/>
      <c r="D87" s="21"/>
      <c r="E87" s="21"/>
      <c r="F87" s="14">
        <v>8.2899999999999991</v>
      </c>
      <c r="G87" s="15"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idden="1" thickBot="1" x14ac:dyDescent="0.2">
      <c r="A88" s="391"/>
      <c r="B88" s="26" t="s">
        <v>97</v>
      </c>
      <c r="C88" s="27"/>
      <c r="D88" s="31"/>
      <c r="E88" s="31"/>
      <c r="F88" s="14">
        <v>6.79</v>
      </c>
      <c r="G88" s="15"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ht="14" hidden="1" thickBot="1" x14ac:dyDescent="0.2">
      <c r="A89" s="400" t="s">
        <v>98</v>
      </c>
      <c r="B89" s="402" t="s">
        <v>99</v>
      </c>
      <c r="C89" s="38" t="s">
        <v>100</v>
      </c>
      <c r="D89" s="39"/>
      <c r="E89" s="39"/>
      <c r="F89" s="403">
        <v>3.79</v>
      </c>
      <c r="G89" s="15"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ht="15.75" hidden="1" customHeight="1" x14ac:dyDescent="0.15">
      <c r="A90" s="390"/>
      <c r="B90" s="368"/>
      <c r="C90" s="21" t="s">
        <v>101</v>
      </c>
      <c r="D90" s="21"/>
      <c r="E90" s="21"/>
      <c r="F90" s="404"/>
      <c r="G90" s="15"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ht="16.5" hidden="1" customHeight="1" x14ac:dyDescent="0.15">
      <c r="A91" s="390"/>
      <c r="B91" s="368"/>
      <c r="C91" s="21" t="s">
        <v>102</v>
      </c>
      <c r="D91" s="21"/>
      <c r="E91" s="21"/>
      <c r="F91" s="403">
        <v>3.79</v>
      </c>
      <c r="G91" s="15"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14" hidden="1" thickBot="1" x14ac:dyDescent="0.2">
      <c r="A92" s="391"/>
      <c r="B92" s="366"/>
      <c r="C92" s="21" t="s">
        <v>103</v>
      </c>
      <c r="D92" s="21"/>
      <c r="E92" s="21"/>
      <c r="F92" s="404"/>
      <c r="G92" s="15"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18" hidden="1" customHeight="1" x14ac:dyDescent="0.15">
      <c r="A93" s="400" t="s">
        <v>104</v>
      </c>
      <c r="B93" s="40" t="s">
        <v>105</v>
      </c>
      <c r="C93" s="30" t="s">
        <v>106</v>
      </c>
      <c r="D93" s="30"/>
      <c r="E93" s="30"/>
      <c r="F93" s="14">
        <v>1.49</v>
      </c>
      <c r="G93" s="15"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ht="18" hidden="1" customHeight="1" x14ac:dyDescent="0.15">
      <c r="A94" s="390"/>
      <c r="B94" s="40" t="s">
        <v>107</v>
      </c>
      <c r="C94" s="30"/>
      <c r="D94" s="30"/>
      <c r="E94" s="30"/>
      <c r="F94" s="13">
        <v>2.91</v>
      </c>
      <c r="G94" s="1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ht="18" customHeight="1" x14ac:dyDescent="0.15">
      <c r="A95" s="390"/>
      <c r="B95" s="41" t="s">
        <v>108</v>
      </c>
      <c r="C95" s="25" t="s">
        <v>109</v>
      </c>
      <c r="D95" s="22"/>
      <c r="E95" s="22"/>
      <c r="F95" s="14">
        <v>37.99</v>
      </c>
      <c r="G95" s="356">
        <f>F95*1.04</f>
        <v>39.509600000000006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ht="18" hidden="1" customHeight="1" x14ac:dyDescent="0.15">
      <c r="A96" s="390"/>
      <c r="B96" s="16" t="s">
        <v>110</v>
      </c>
      <c r="C96" s="21" t="s">
        <v>111</v>
      </c>
      <c r="D96" s="21"/>
      <c r="E96" s="21"/>
      <c r="F96" s="14">
        <v>8.69</v>
      </c>
      <c r="G96" s="15"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18" customHeight="1" x14ac:dyDescent="0.15">
      <c r="A97" s="390"/>
      <c r="B97" s="42" t="s">
        <v>112</v>
      </c>
      <c r="C97" s="42" t="s">
        <v>112</v>
      </c>
      <c r="D97" s="42"/>
      <c r="E97" s="42"/>
      <c r="F97" s="14">
        <v>6.49</v>
      </c>
      <c r="G97" s="356">
        <f>F97*1.04</f>
        <v>6.7496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8" hidden="1" customHeight="1" x14ac:dyDescent="0.15">
      <c r="A98" s="390"/>
      <c r="B98" s="42" t="s">
        <v>113</v>
      </c>
      <c r="C98" s="42" t="s">
        <v>113</v>
      </c>
      <c r="D98" s="42"/>
      <c r="E98" s="42"/>
      <c r="F98" s="18">
        <v>1.39</v>
      </c>
      <c r="G98" s="15"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ht="18" hidden="1" customHeight="1" thickBot="1" x14ac:dyDescent="0.2">
      <c r="A99" s="390"/>
      <c r="B99" s="16" t="s">
        <v>114</v>
      </c>
      <c r="C99" s="21" t="s">
        <v>115</v>
      </c>
      <c r="D99" s="21"/>
      <c r="E99" s="21"/>
      <c r="F99" s="14">
        <v>6.25</v>
      </c>
      <c r="G99" s="15"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18" hidden="1" customHeight="1" thickBot="1" x14ac:dyDescent="0.2">
      <c r="A100" s="390"/>
      <c r="B100" s="43" t="s">
        <v>116</v>
      </c>
      <c r="C100" s="21" t="s">
        <v>117</v>
      </c>
      <c r="D100" s="21"/>
      <c r="E100" s="21"/>
      <c r="F100" s="14">
        <v>10.99</v>
      </c>
      <c r="G100" s="15"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4" hidden="1" x14ac:dyDescent="0.15">
      <c r="A101" s="390"/>
      <c r="B101" s="16" t="s">
        <v>118</v>
      </c>
      <c r="C101" s="21" t="s">
        <v>119</v>
      </c>
      <c r="D101" s="21"/>
      <c r="E101" s="21"/>
      <c r="F101" s="14">
        <v>7.49</v>
      </c>
      <c r="G101" s="15"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3" hidden="1" x14ac:dyDescent="0.15">
      <c r="A102" s="390"/>
      <c r="B102" s="401" t="s">
        <v>120</v>
      </c>
      <c r="C102" s="21" t="s">
        <v>40</v>
      </c>
      <c r="D102" s="21"/>
      <c r="E102" s="21"/>
      <c r="F102" s="18">
        <v>5.99</v>
      </c>
      <c r="G102" s="15"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4" thickBot="1" x14ac:dyDescent="0.2">
      <c r="A103" s="391"/>
      <c r="B103" s="378"/>
      <c r="C103" s="27" t="s">
        <v>121</v>
      </c>
      <c r="D103" s="31"/>
      <c r="E103" s="31"/>
      <c r="F103" s="18">
        <v>29.99</v>
      </c>
      <c r="G103" s="356">
        <f>F103*1.04</f>
        <v>31.189599999999999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3" x14ac:dyDescent="0.15">
      <c r="A104" s="393" t="s">
        <v>122</v>
      </c>
      <c r="B104" s="402" t="s">
        <v>123</v>
      </c>
      <c r="C104" s="44" t="s">
        <v>124</v>
      </c>
      <c r="D104" s="45"/>
      <c r="E104" s="45"/>
      <c r="F104" s="14">
        <v>22.99</v>
      </c>
      <c r="G104" s="356">
        <f>F104*1.04</f>
        <v>23.909599999999998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13" x14ac:dyDescent="0.15">
      <c r="A105" s="390"/>
      <c r="B105" s="368"/>
      <c r="C105" s="46" t="s">
        <v>125</v>
      </c>
      <c r="D105" s="46"/>
      <c r="E105" s="46"/>
      <c r="F105" s="14">
        <v>25.99</v>
      </c>
      <c r="G105" s="356">
        <f>F105*1.04</f>
        <v>27.029599999999999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13" hidden="1" x14ac:dyDescent="0.15">
      <c r="A106" s="390"/>
      <c r="B106" s="368"/>
      <c r="C106" s="46" t="s">
        <v>126</v>
      </c>
      <c r="D106" s="46"/>
      <c r="E106" s="46"/>
      <c r="F106" s="14">
        <v>44.99</v>
      </c>
      <c r="G106" s="1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3" x14ac:dyDescent="0.15">
      <c r="A107" s="390"/>
      <c r="B107" s="366"/>
      <c r="C107" s="46" t="s">
        <v>127</v>
      </c>
      <c r="D107" s="46"/>
      <c r="E107" s="46"/>
      <c r="F107" s="14">
        <v>25.99</v>
      </c>
      <c r="G107" s="356">
        <f>F107*1.04</f>
        <v>27.029599999999999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13" hidden="1" x14ac:dyDescent="0.15">
      <c r="A108" s="390"/>
      <c r="B108" s="401" t="s">
        <v>128</v>
      </c>
      <c r="C108" s="46" t="s">
        <v>129</v>
      </c>
      <c r="D108" s="46"/>
      <c r="E108" s="46"/>
      <c r="F108" s="14">
        <v>1.99</v>
      </c>
      <c r="G108" s="15"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t="13" hidden="1" x14ac:dyDescent="0.15">
      <c r="A109" s="390"/>
      <c r="B109" s="368"/>
      <c r="C109" s="46" t="s">
        <v>130</v>
      </c>
      <c r="D109" s="46"/>
      <c r="E109" s="46"/>
      <c r="F109" s="14">
        <v>2.69</v>
      </c>
      <c r="G109" s="15"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3" hidden="1" x14ac:dyDescent="0.15">
      <c r="A110" s="390"/>
      <c r="B110" s="366"/>
      <c r="C110" s="46" t="s">
        <v>131</v>
      </c>
      <c r="D110" s="46"/>
      <c r="E110" s="46"/>
      <c r="F110" s="14">
        <v>3.49</v>
      </c>
      <c r="G110" s="15"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13" hidden="1" x14ac:dyDescent="0.15">
      <c r="A111" s="390"/>
      <c r="B111" s="401" t="s">
        <v>125</v>
      </c>
      <c r="C111" s="46" t="s">
        <v>129</v>
      </c>
      <c r="D111" s="46"/>
      <c r="E111" s="46"/>
      <c r="F111" s="14">
        <v>3.25</v>
      </c>
      <c r="G111" s="15"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13" hidden="1" x14ac:dyDescent="0.15">
      <c r="A112" s="390"/>
      <c r="B112" s="368"/>
      <c r="C112" s="46" t="s">
        <v>130</v>
      </c>
      <c r="D112" s="46"/>
      <c r="E112" s="46"/>
      <c r="F112" s="14">
        <v>4.3499999999999996</v>
      </c>
      <c r="G112" s="15"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13" hidden="1" x14ac:dyDescent="0.15">
      <c r="A113" s="390"/>
      <c r="B113" s="366"/>
      <c r="C113" s="46" t="s">
        <v>131</v>
      </c>
      <c r="D113" s="46"/>
      <c r="E113" s="46"/>
      <c r="F113" s="14">
        <v>6.25</v>
      </c>
      <c r="G113" s="15"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13" hidden="1" x14ac:dyDescent="0.15">
      <c r="A114" s="390"/>
      <c r="B114" s="401" t="s">
        <v>132</v>
      </c>
      <c r="C114" s="46" t="s">
        <v>129</v>
      </c>
      <c r="D114" s="46"/>
      <c r="E114" s="46"/>
      <c r="F114" s="14">
        <v>3.59</v>
      </c>
      <c r="G114" s="15"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13" hidden="1" x14ac:dyDescent="0.15">
      <c r="A115" s="390"/>
      <c r="B115" s="368"/>
      <c r="C115" s="46" t="s">
        <v>130</v>
      </c>
      <c r="D115" s="46"/>
      <c r="E115" s="46"/>
      <c r="F115" s="14">
        <v>4.8899999999999997</v>
      </c>
      <c r="G115" s="15"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3" hidden="1" x14ac:dyDescent="0.15">
      <c r="A116" s="390"/>
      <c r="B116" s="366"/>
      <c r="C116" s="46" t="s">
        <v>131</v>
      </c>
      <c r="D116" s="46"/>
      <c r="E116" s="46"/>
      <c r="F116" s="14">
        <v>6.59</v>
      </c>
      <c r="G116" s="15"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13" hidden="1" x14ac:dyDescent="0.15">
      <c r="A117" s="390"/>
      <c r="B117" s="401" t="s">
        <v>133</v>
      </c>
      <c r="C117" s="46" t="s">
        <v>129</v>
      </c>
      <c r="D117" s="46"/>
      <c r="E117" s="46"/>
      <c r="F117" s="14">
        <v>3.59</v>
      </c>
      <c r="G117" s="15"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13" hidden="1" x14ac:dyDescent="0.15">
      <c r="A118" s="390"/>
      <c r="B118" s="368"/>
      <c r="C118" s="46" t="s">
        <v>130</v>
      </c>
      <c r="D118" s="46"/>
      <c r="E118" s="46"/>
      <c r="F118" s="14">
        <v>4.8899999999999997</v>
      </c>
      <c r="G118" s="15"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13" hidden="1" x14ac:dyDescent="0.15">
      <c r="A119" s="390"/>
      <c r="B119" s="366"/>
      <c r="C119" s="46" t="s">
        <v>131</v>
      </c>
      <c r="D119" s="46"/>
      <c r="E119" s="46"/>
      <c r="F119" s="14">
        <v>6.59</v>
      </c>
      <c r="G119" s="15"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13" hidden="1" x14ac:dyDescent="0.15">
      <c r="A120" s="390"/>
      <c r="B120" s="401" t="s">
        <v>134</v>
      </c>
      <c r="C120" s="46" t="s">
        <v>135</v>
      </c>
      <c r="D120" s="46"/>
      <c r="E120" s="46"/>
      <c r="F120" s="14">
        <v>2.79</v>
      </c>
      <c r="G120" s="15"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13" hidden="1" x14ac:dyDescent="0.15">
      <c r="A121" s="390"/>
      <c r="B121" s="366"/>
      <c r="C121" s="46" t="s">
        <v>136</v>
      </c>
      <c r="D121" s="46"/>
      <c r="E121" s="46"/>
      <c r="F121" s="14">
        <v>2.99</v>
      </c>
      <c r="G121" s="15"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14" hidden="1" x14ac:dyDescent="0.15">
      <c r="A122" s="390"/>
      <c r="B122" s="47" t="s">
        <v>137</v>
      </c>
      <c r="C122" s="48" t="s">
        <v>138</v>
      </c>
      <c r="D122" s="48"/>
      <c r="E122" s="48"/>
      <c r="F122" s="14"/>
      <c r="G122" s="15"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13" hidden="1" x14ac:dyDescent="0.15">
      <c r="A123" s="390"/>
      <c r="B123" s="401" t="s">
        <v>139</v>
      </c>
      <c r="C123" s="42" t="s">
        <v>140</v>
      </c>
      <c r="D123" s="42"/>
      <c r="E123" s="42"/>
      <c r="F123" s="14">
        <v>1.75</v>
      </c>
      <c r="G123" s="15"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13" hidden="1" x14ac:dyDescent="0.15">
      <c r="A124" s="390"/>
      <c r="B124" s="366"/>
      <c r="C124" s="42" t="s">
        <v>135</v>
      </c>
      <c r="D124" s="42"/>
      <c r="E124" s="42"/>
      <c r="F124" s="14">
        <v>2.4900000000000002</v>
      </c>
      <c r="G124" s="15"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3" hidden="1" x14ac:dyDescent="0.15">
      <c r="A125" s="390"/>
      <c r="B125" s="365" t="s">
        <v>141</v>
      </c>
      <c r="C125" s="42" t="s">
        <v>140</v>
      </c>
      <c r="D125" s="42"/>
      <c r="E125" s="42"/>
      <c r="F125" s="14">
        <v>1.75</v>
      </c>
      <c r="G125" s="15"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3" hidden="1" x14ac:dyDescent="0.15">
      <c r="A126" s="390"/>
      <c r="B126" s="366"/>
      <c r="C126" s="42" t="s">
        <v>135</v>
      </c>
      <c r="D126" s="42"/>
      <c r="E126" s="42"/>
      <c r="F126" s="14">
        <v>2.4900000000000002</v>
      </c>
      <c r="G126" s="15"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3" hidden="1" x14ac:dyDescent="0.15">
      <c r="A127" s="390"/>
      <c r="B127" s="401" t="s">
        <v>142</v>
      </c>
      <c r="C127" s="46" t="s">
        <v>129</v>
      </c>
      <c r="D127" s="46"/>
      <c r="E127" s="46"/>
      <c r="F127" s="14">
        <v>4.59</v>
      </c>
      <c r="G127" s="15"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3" hidden="1" x14ac:dyDescent="0.15">
      <c r="A128" s="390"/>
      <c r="B128" s="368"/>
      <c r="C128" s="46" t="s">
        <v>130</v>
      </c>
      <c r="D128" s="46"/>
      <c r="E128" s="46"/>
      <c r="F128" s="14">
        <v>5.69</v>
      </c>
      <c r="G128" s="15"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13" hidden="1" x14ac:dyDescent="0.15">
      <c r="A129" s="390"/>
      <c r="B129" s="366"/>
      <c r="C129" s="42" t="s">
        <v>131</v>
      </c>
      <c r="D129" s="42"/>
      <c r="E129" s="42"/>
      <c r="F129" s="14">
        <v>6.59</v>
      </c>
      <c r="G129" s="15"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3" hidden="1" x14ac:dyDescent="0.15">
      <c r="A130" s="390"/>
      <c r="B130" s="50" t="s">
        <v>143</v>
      </c>
      <c r="C130" s="42"/>
      <c r="D130" s="42"/>
      <c r="E130" s="42"/>
      <c r="F130" s="14">
        <v>3.49</v>
      </c>
      <c r="G130" s="15"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3" hidden="1" x14ac:dyDescent="0.15">
      <c r="A131" s="390"/>
      <c r="B131" s="365" t="s">
        <v>144</v>
      </c>
      <c r="C131" s="21" t="s">
        <v>145</v>
      </c>
      <c r="D131" s="21"/>
      <c r="E131" s="21"/>
      <c r="F131" s="18">
        <v>2.89</v>
      </c>
      <c r="G131" s="15"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3" hidden="1" x14ac:dyDescent="0.15">
      <c r="A132" s="390"/>
      <c r="B132" s="366"/>
      <c r="C132" s="21" t="s">
        <v>146</v>
      </c>
      <c r="D132" s="21"/>
      <c r="E132" s="21"/>
      <c r="F132" s="18">
        <v>3.79</v>
      </c>
      <c r="G132" s="15"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13" hidden="1" x14ac:dyDescent="0.15">
      <c r="A133" s="390"/>
      <c r="B133" s="365" t="s">
        <v>147</v>
      </c>
      <c r="C133" s="21" t="s">
        <v>130</v>
      </c>
      <c r="D133" s="21"/>
      <c r="E133" s="21"/>
      <c r="F133" s="18">
        <v>5.25</v>
      </c>
      <c r="G133" s="15"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3" hidden="1" x14ac:dyDescent="0.15">
      <c r="A134" s="390"/>
      <c r="B134" s="366"/>
      <c r="C134" s="21" t="s">
        <v>131</v>
      </c>
      <c r="D134" s="21"/>
      <c r="E134" s="21"/>
      <c r="F134" s="18">
        <v>5.99</v>
      </c>
      <c r="G134" s="15"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13" hidden="1" x14ac:dyDescent="0.15">
      <c r="A135" s="390"/>
      <c r="B135" s="42" t="s">
        <v>148</v>
      </c>
      <c r="C135" s="13" t="s">
        <v>149</v>
      </c>
      <c r="D135" s="13"/>
      <c r="E135" s="13"/>
      <c r="F135" s="18">
        <v>6.75</v>
      </c>
      <c r="G135" s="15"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13" hidden="1" x14ac:dyDescent="0.15">
      <c r="A136" s="390"/>
      <c r="B136" s="42" t="s">
        <v>150</v>
      </c>
      <c r="C136" s="13" t="s">
        <v>151</v>
      </c>
      <c r="D136" s="13"/>
      <c r="E136" s="13"/>
      <c r="F136" s="18">
        <v>6.75</v>
      </c>
      <c r="G136" s="15"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3" hidden="1" x14ac:dyDescent="0.15">
      <c r="A137" s="390"/>
      <c r="B137" s="42" t="s">
        <v>152</v>
      </c>
      <c r="C137" s="13" t="s">
        <v>149</v>
      </c>
      <c r="D137" s="13"/>
      <c r="E137" s="13"/>
      <c r="F137" s="18">
        <v>6.75</v>
      </c>
      <c r="G137" s="15"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4" hidden="1" thickBot="1" x14ac:dyDescent="0.2">
      <c r="A138" s="391"/>
      <c r="B138" s="51" t="s">
        <v>153</v>
      </c>
      <c r="C138" s="9" t="s">
        <v>154</v>
      </c>
      <c r="D138" s="9"/>
      <c r="E138" s="9"/>
      <c r="F138" s="18" t="s">
        <v>155</v>
      </c>
      <c r="G138" s="1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14" hidden="1" x14ac:dyDescent="0.15">
      <c r="A139" s="408" t="s">
        <v>156</v>
      </c>
      <c r="B139" s="52" t="s">
        <v>157</v>
      </c>
      <c r="C139" s="25" t="s">
        <v>158</v>
      </c>
      <c r="D139" s="22"/>
      <c r="E139" s="22"/>
      <c r="F139" s="14">
        <v>11.29</v>
      </c>
      <c r="G139" s="15"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4" hidden="1" x14ac:dyDescent="0.15">
      <c r="A140" s="390"/>
      <c r="B140" s="16" t="s">
        <v>159</v>
      </c>
      <c r="C140" s="21" t="s">
        <v>158</v>
      </c>
      <c r="D140" s="21"/>
      <c r="E140" s="21"/>
      <c r="F140" s="14">
        <v>9.99</v>
      </c>
      <c r="G140" s="15"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14" hidden="1" x14ac:dyDescent="0.15">
      <c r="A141" s="390"/>
      <c r="B141" s="16" t="s">
        <v>160</v>
      </c>
      <c r="C141" s="21" t="s">
        <v>161</v>
      </c>
      <c r="D141" s="21"/>
      <c r="E141" s="21"/>
      <c r="F141" s="14">
        <v>11.99</v>
      </c>
      <c r="G141" s="15"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4" hidden="1" x14ac:dyDescent="0.15">
      <c r="A142" s="390"/>
      <c r="B142" s="16" t="s">
        <v>162</v>
      </c>
      <c r="C142" s="21" t="s">
        <v>163</v>
      </c>
      <c r="D142" s="21"/>
      <c r="E142" s="21"/>
      <c r="F142" s="14">
        <v>9.2899999999999991</v>
      </c>
      <c r="G142" s="15"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3" hidden="1" x14ac:dyDescent="0.15">
      <c r="A143" s="390"/>
      <c r="B143" s="401" t="s">
        <v>164</v>
      </c>
      <c r="C143" s="21" t="s">
        <v>165</v>
      </c>
      <c r="D143" s="21"/>
      <c r="E143" s="21"/>
      <c r="F143" s="14">
        <v>12.69</v>
      </c>
      <c r="G143" s="15"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3" hidden="1" x14ac:dyDescent="0.15">
      <c r="A144" s="390"/>
      <c r="B144" s="368"/>
      <c r="C144" s="21" t="s">
        <v>166</v>
      </c>
      <c r="D144" s="21"/>
      <c r="E144" s="21"/>
      <c r="F144" s="14">
        <v>13.29</v>
      </c>
      <c r="G144" s="15"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3" hidden="1" x14ac:dyDescent="0.15">
      <c r="A145" s="390"/>
      <c r="B145" s="366"/>
      <c r="C145" s="21" t="s">
        <v>167</v>
      </c>
      <c r="D145" s="21"/>
      <c r="E145" s="21"/>
      <c r="F145" s="14">
        <v>13.29</v>
      </c>
      <c r="G145" s="15"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4" hidden="1" x14ac:dyDescent="0.15">
      <c r="A146" s="390"/>
      <c r="B146" s="53" t="s">
        <v>168</v>
      </c>
      <c r="C146" s="12" t="s">
        <v>169</v>
      </c>
      <c r="D146" s="12"/>
      <c r="E146" s="12"/>
      <c r="F146" s="14">
        <v>9.7899999999999991</v>
      </c>
      <c r="G146" s="15"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14" hidden="1" x14ac:dyDescent="0.15">
      <c r="A147" s="390"/>
      <c r="B147" s="53" t="s">
        <v>170</v>
      </c>
      <c r="C147" s="12" t="s">
        <v>171</v>
      </c>
      <c r="D147" s="12"/>
      <c r="E147" s="12"/>
      <c r="F147" s="14">
        <v>12.59</v>
      </c>
      <c r="G147" s="15"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4" hidden="1" x14ac:dyDescent="0.15">
      <c r="A148" s="390"/>
      <c r="B148" s="53" t="s">
        <v>172</v>
      </c>
      <c r="C148" s="12" t="s">
        <v>173</v>
      </c>
      <c r="D148" s="12"/>
      <c r="E148" s="12"/>
      <c r="F148" s="14">
        <v>10.99</v>
      </c>
      <c r="G148" s="15"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4" hidden="1" x14ac:dyDescent="0.15">
      <c r="A149" s="390"/>
      <c r="B149" s="16" t="s">
        <v>174</v>
      </c>
      <c r="C149" s="12" t="s">
        <v>175</v>
      </c>
      <c r="D149" s="12"/>
      <c r="E149" s="12"/>
      <c r="F149" s="14">
        <v>10.99</v>
      </c>
      <c r="G149" s="15"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4" hidden="1" x14ac:dyDescent="0.15">
      <c r="A150" s="390"/>
      <c r="B150" s="53" t="s">
        <v>176</v>
      </c>
      <c r="C150" s="21" t="s">
        <v>177</v>
      </c>
      <c r="D150" s="21"/>
      <c r="E150" s="21"/>
      <c r="F150" s="14">
        <v>10.99</v>
      </c>
      <c r="G150" s="15"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17.25" hidden="1" customHeight="1" x14ac:dyDescent="0.15">
      <c r="A151" s="390"/>
      <c r="B151" s="53" t="s">
        <v>178</v>
      </c>
      <c r="C151" s="21" t="s">
        <v>179</v>
      </c>
      <c r="D151" s="21"/>
      <c r="E151" s="21"/>
      <c r="F151" s="14">
        <v>11.49</v>
      </c>
      <c r="G151" s="15"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9.5" hidden="1" customHeight="1" x14ac:dyDescent="0.15">
      <c r="A152" s="390"/>
      <c r="B152" s="53" t="s">
        <v>180</v>
      </c>
      <c r="C152" s="21" t="s">
        <v>181</v>
      </c>
      <c r="D152" s="21"/>
      <c r="E152" s="21"/>
      <c r="F152" s="14">
        <v>10.99</v>
      </c>
      <c r="G152" s="15"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19.5" hidden="1" customHeight="1" x14ac:dyDescent="0.15">
      <c r="A153" s="390"/>
      <c r="B153" s="53" t="s">
        <v>182</v>
      </c>
      <c r="C153" s="21" t="s">
        <v>183</v>
      </c>
      <c r="D153" s="21"/>
      <c r="E153" s="21"/>
      <c r="F153" s="14">
        <v>7.49</v>
      </c>
      <c r="G153" s="15"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4" hidden="1" x14ac:dyDescent="0.15">
      <c r="A154" s="390"/>
      <c r="B154" s="16" t="s">
        <v>184</v>
      </c>
      <c r="C154" s="21" t="s">
        <v>185</v>
      </c>
      <c r="D154" s="21"/>
      <c r="E154" s="21"/>
      <c r="F154" s="14">
        <v>6.49</v>
      </c>
      <c r="G154" s="15"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4" hidden="1" x14ac:dyDescent="0.15">
      <c r="A155" s="390"/>
      <c r="B155" s="53" t="s">
        <v>186</v>
      </c>
      <c r="C155" s="12" t="s">
        <v>187</v>
      </c>
      <c r="D155" s="12"/>
      <c r="E155" s="12"/>
      <c r="F155" s="14">
        <v>6.49</v>
      </c>
      <c r="G155" s="15"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4" hidden="1" x14ac:dyDescent="0.15">
      <c r="A156" s="390"/>
      <c r="B156" s="53" t="s">
        <v>188</v>
      </c>
      <c r="C156" s="12" t="s">
        <v>189</v>
      </c>
      <c r="D156" s="12"/>
      <c r="E156" s="12"/>
      <c r="F156" s="14">
        <v>12.49</v>
      </c>
      <c r="G156" s="15"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14" hidden="1" x14ac:dyDescent="0.15">
      <c r="A157" s="390"/>
      <c r="B157" s="54" t="s">
        <v>190</v>
      </c>
      <c r="C157" s="55" t="s">
        <v>191</v>
      </c>
      <c r="D157" s="55"/>
      <c r="E157" s="55"/>
      <c r="F157" s="36"/>
      <c r="G157" s="15"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4" hidden="1" x14ac:dyDescent="0.15">
      <c r="A158" s="390"/>
      <c r="B158" s="53" t="s">
        <v>192</v>
      </c>
      <c r="C158" s="12" t="s">
        <v>193</v>
      </c>
      <c r="D158" s="12"/>
      <c r="E158" s="12"/>
      <c r="F158" s="14">
        <v>10.99</v>
      </c>
      <c r="G158" s="15"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14" hidden="1" x14ac:dyDescent="0.15">
      <c r="A159" s="390"/>
      <c r="B159" s="53" t="s">
        <v>194</v>
      </c>
      <c r="C159" s="12" t="s">
        <v>158</v>
      </c>
      <c r="D159" s="12"/>
      <c r="E159" s="12"/>
      <c r="F159" s="14">
        <v>7.99</v>
      </c>
      <c r="G159" s="15"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4" hidden="1" x14ac:dyDescent="0.15">
      <c r="A160" s="390"/>
      <c r="B160" s="56" t="s">
        <v>195</v>
      </c>
      <c r="C160" s="20" t="s">
        <v>196</v>
      </c>
      <c r="D160" s="20"/>
      <c r="E160" s="20"/>
      <c r="F160" s="14">
        <v>5.49</v>
      </c>
      <c r="G160" s="15"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4" hidden="1" x14ac:dyDescent="0.15">
      <c r="A161" s="390"/>
      <c r="B161" s="56" t="s">
        <v>197</v>
      </c>
      <c r="C161" s="20"/>
      <c r="D161" s="20"/>
      <c r="E161" s="20"/>
      <c r="F161" s="14">
        <v>9.59</v>
      </c>
      <c r="G161" s="15"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4" hidden="1" x14ac:dyDescent="0.15">
      <c r="A162" s="390"/>
      <c r="B162" s="57" t="s">
        <v>198</v>
      </c>
      <c r="C162" s="12"/>
      <c r="D162" s="12"/>
      <c r="E162" s="12"/>
      <c r="F162" s="14">
        <v>11.99</v>
      </c>
      <c r="G162" s="15"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idden="1" thickBot="1" x14ac:dyDescent="0.2">
      <c r="A163" s="390"/>
      <c r="B163" s="58" t="s">
        <v>199</v>
      </c>
      <c r="C163" s="59"/>
      <c r="D163" s="60"/>
      <c r="E163" s="60"/>
      <c r="F163" s="14">
        <v>16.989999999999998</v>
      </c>
      <c r="G163" s="15"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4" hidden="1" x14ac:dyDescent="0.15">
      <c r="A164" s="400" t="s">
        <v>200</v>
      </c>
      <c r="B164" s="41" t="s">
        <v>201</v>
      </c>
      <c r="C164" s="61" t="s">
        <v>202</v>
      </c>
      <c r="D164" s="48"/>
      <c r="E164" s="62"/>
      <c r="F164" s="14">
        <v>15.99</v>
      </c>
      <c r="G164" s="15"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4" hidden="1" x14ac:dyDescent="0.15">
      <c r="A165" s="390"/>
      <c r="B165" s="16" t="s">
        <v>203</v>
      </c>
      <c r="C165" s="46" t="s">
        <v>204</v>
      </c>
      <c r="D165" s="46"/>
      <c r="E165" s="46"/>
      <c r="F165" s="14">
        <v>13.49</v>
      </c>
      <c r="G165" s="15"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4" hidden="1" x14ac:dyDescent="0.15">
      <c r="A166" s="390"/>
      <c r="B166" s="43" t="s">
        <v>205</v>
      </c>
      <c r="C166" s="46" t="s">
        <v>206</v>
      </c>
      <c r="D166" s="46"/>
      <c r="E166" s="46"/>
      <c r="F166" s="14">
        <v>14.49</v>
      </c>
      <c r="G166" s="15"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4" hidden="1" x14ac:dyDescent="0.15">
      <c r="A167" s="390"/>
      <c r="B167" s="43" t="s">
        <v>207</v>
      </c>
      <c r="C167" s="42" t="s">
        <v>208</v>
      </c>
      <c r="D167" s="42"/>
      <c r="E167" s="42"/>
      <c r="F167" s="14">
        <v>14.49</v>
      </c>
      <c r="G167" s="15"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4" hidden="1" x14ac:dyDescent="0.15">
      <c r="A168" s="390"/>
      <c r="B168" s="43" t="s">
        <v>209</v>
      </c>
      <c r="C168" s="42" t="s">
        <v>210</v>
      </c>
      <c r="D168" s="42"/>
      <c r="E168" s="42"/>
      <c r="F168" s="14">
        <v>13.49</v>
      </c>
      <c r="G168" s="15"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14" hidden="1" x14ac:dyDescent="0.15">
      <c r="A169" s="390"/>
      <c r="B169" s="43" t="s">
        <v>211</v>
      </c>
      <c r="C169" s="46" t="s">
        <v>212</v>
      </c>
      <c r="D169" s="46"/>
      <c r="E169" s="46"/>
      <c r="F169" s="14">
        <v>13.49</v>
      </c>
      <c r="G169" s="15"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4" hidden="1" x14ac:dyDescent="0.15">
      <c r="A170" s="390"/>
      <c r="B170" s="43" t="s">
        <v>213</v>
      </c>
      <c r="C170" s="42" t="s">
        <v>214</v>
      </c>
      <c r="D170" s="42"/>
      <c r="E170" s="42"/>
      <c r="F170" s="14">
        <v>13.49</v>
      </c>
      <c r="G170" s="15"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14" hidden="1" x14ac:dyDescent="0.15">
      <c r="A171" s="390"/>
      <c r="B171" s="43" t="s">
        <v>215</v>
      </c>
      <c r="C171" s="42" t="s">
        <v>216</v>
      </c>
      <c r="D171" s="42"/>
      <c r="E171" s="42"/>
      <c r="F171" s="14">
        <v>13.49</v>
      </c>
      <c r="G171" s="15"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4" hidden="1" x14ac:dyDescent="0.15">
      <c r="A172" s="390"/>
      <c r="B172" s="43" t="s">
        <v>217</v>
      </c>
      <c r="C172" s="46" t="s">
        <v>218</v>
      </c>
      <c r="D172" s="46"/>
      <c r="E172" s="46"/>
      <c r="F172" s="14">
        <v>13.49</v>
      </c>
      <c r="G172" s="15"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4" hidden="1" x14ac:dyDescent="0.15">
      <c r="A173" s="390"/>
      <c r="B173" s="47" t="s">
        <v>219</v>
      </c>
      <c r="C173" s="48" t="s">
        <v>220</v>
      </c>
      <c r="D173" s="48"/>
      <c r="E173" s="48"/>
      <c r="F173" s="36"/>
      <c r="G173" s="15"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4" hidden="1" x14ac:dyDescent="0.15">
      <c r="A174" s="390"/>
      <c r="B174" s="49" t="s">
        <v>221</v>
      </c>
      <c r="C174" s="63" t="s">
        <v>222</v>
      </c>
      <c r="D174" s="64"/>
      <c r="E174" s="64"/>
      <c r="F174" s="14">
        <v>10.99</v>
      </c>
      <c r="G174" s="15"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14" hidden="1" x14ac:dyDescent="0.15">
      <c r="A175" s="390"/>
      <c r="B175" s="49" t="s">
        <v>223</v>
      </c>
      <c r="C175" s="60" t="s">
        <v>224</v>
      </c>
      <c r="D175" s="60"/>
      <c r="E175" s="60"/>
      <c r="F175" s="14">
        <v>11.29</v>
      </c>
      <c r="G175" s="15"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3" hidden="1" x14ac:dyDescent="0.15">
      <c r="A176" s="390"/>
      <c r="B176" s="38" t="s">
        <v>225</v>
      </c>
      <c r="C176" s="409"/>
      <c r="D176" s="48"/>
      <c r="E176" s="48"/>
      <c r="F176" s="14">
        <v>11.49</v>
      </c>
      <c r="G176" s="1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13" hidden="1" x14ac:dyDescent="0.15">
      <c r="A177" s="390"/>
      <c r="B177" s="386" t="s">
        <v>225</v>
      </c>
      <c r="C177" s="387"/>
      <c r="D177" s="65" t="s">
        <v>226</v>
      </c>
      <c r="E177" s="65" t="s">
        <v>227</v>
      </c>
      <c r="F177" s="13">
        <v>0</v>
      </c>
      <c r="G177" s="1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3" hidden="1" x14ac:dyDescent="0.15">
      <c r="A178" s="390"/>
      <c r="B178" s="387"/>
      <c r="C178" s="387"/>
      <c r="D178" s="65" t="s">
        <v>226</v>
      </c>
      <c r="E178" s="65" t="s">
        <v>228</v>
      </c>
      <c r="F178" s="13">
        <v>0</v>
      </c>
      <c r="G178" s="1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3" hidden="1" x14ac:dyDescent="0.15">
      <c r="A179" s="390"/>
      <c r="B179" s="387"/>
      <c r="C179" s="387"/>
      <c r="D179" s="65" t="s">
        <v>226</v>
      </c>
      <c r="E179" s="65" t="s">
        <v>229</v>
      </c>
      <c r="F179" s="13">
        <v>0</v>
      </c>
      <c r="G179" s="1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3" hidden="1" x14ac:dyDescent="0.15">
      <c r="A180" s="390"/>
      <c r="B180" s="387"/>
      <c r="C180" s="387"/>
      <c r="D180" s="65" t="s">
        <v>226</v>
      </c>
      <c r="E180" s="65" t="s">
        <v>230</v>
      </c>
      <c r="F180" s="13">
        <v>0</v>
      </c>
      <c r="G180" s="1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13" hidden="1" x14ac:dyDescent="0.15">
      <c r="A181" s="390"/>
      <c r="B181" s="387"/>
      <c r="C181" s="387"/>
      <c r="D181" s="65" t="s">
        <v>226</v>
      </c>
      <c r="E181" s="65" t="s">
        <v>231</v>
      </c>
      <c r="F181" s="13">
        <v>0</v>
      </c>
      <c r="G181" s="1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3" hidden="1" x14ac:dyDescent="0.15">
      <c r="A182" s="390"/>
      <c r="B182" s="387"/>
      <c r="C182" s="387"/>
      <c r="D182" s="65" t="s">
        <v>226</v>
      </c>
      <c r="E182" s="65" t="s">
        <v>232</v>
      </c>
      <c r="F182" s="13">
        <v>0</v>
      </c>
      <c r="G182" s="1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13" hidden="1" x14ac:dyDescent="0.15">
      <c r="A183" s="390"/>
      <c r="B183" s="387"/>
      <c r="C183" s="387"/>
      <c r="D183" s="65" t="s">
        <v>233</v>
      </c>
      <c r="E183" s="65" t="s">
        <v>234</v>
      </c>
      <c r="F183" s="13">
        <v>2.5</v>
      </c>
      <c r="G183" s="1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3" hidden="1" x14ac:dyDescent="0.15">
      <c r="A184" s="390"/>
      <c r="B184" s="387"/>
      <c r="C184" s="387"/>
      <c r="D184" s="65" t="s">
        <v>233</v>
      </c>
      <c r="E184" s="65" t="s">
        <v>18</v>
      </c>
      <c r="F184" s="13">
        <v>0</v>
      </c>
      <c r="G184" s="1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13" hidden="1" x14ac:dyDescent="0.15">
      <c r="A185" s="390"/>
      <c r="B185" s="387"/>
      <c r="C185" s="387"/>
      <c r="D185" s="65" t="s">
        <v>233</v>
      </c>
      <c r="E185" s="65" t="s">
        <v>235</v>
      </c>
      <c r="F185" s="13">
        <v>0</v>
      </c>
      <c r="G185" s="1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3" hidden="1" x14ac:dyDescent="0.15">
      <c r="A186" s="390"/>
      <c r="B186" s="387"/>
      <c r="C186" s="387"/>
      <c r="D186" s="65" t="s">
        <v>233</v>
      </c>
      <c r="E186" s="65" t="s">
        <v>236</v>
      </c>
      <c r="F186" s="13">
        <v>0</v>
      </c>
      <c r="G186" s="1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13" hidden="1" x14ac:dyDescent="0.15">
      <c r="A187" s="390"/>
      <c r="B187" s="387"/>
      <c r="C187" s="387"/>
      <c r="D187" s="65" t="s">
        <v>233</v>
      </c>
      <c r="E187" s="65" t="s">
        <v>19</v>
      </c>
      <c r="F187" s="13">
        <v>0</v>
      </c>
      <c r="G187" s="1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3" hidden="1" x14ac:dyDescent="0.15">
      <c r="A188" s="390"/>
      <c r="B188" s="387"/>
      <c r="C188" s="387"/>
      <c r="D188" s="65" t="s">
        <v>233</v>
      </c>
      <c r="E188" s="65" t="s">
        <v>237</v>
      </c>
      <c r="F188" s="13">
        <v>0</v>
      </c>
      <c r="G188" s="1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13" hidden="1" x14ac:dyDescent="0.15">
      <c r="A189" s="390"/>
      <c r="B189" s="387"/>
      <c r="C189" s="387"/>
      <c r="D189" s="65" t="s">
        <v>233</v>
      </c>
      <c r="E189" s="65" t="s">
        <v>238</v>
      </c>
      <c r="F189" s="13">
        <v>0</v>
      </c>
      <c r="G189" s="1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3" hidden="1" x14ac:dyDescent="0.15">
      <c r="A190" s="390"/>
      <c r="B190" s="387"/>
      <c r="C190" s="387"/>
      <c r="D190" s="65" t="s">
        <v>233</v>
      </c>
      <c r="E190" s="65" t="s">
        <v>239</v>
      </c>
      <c r="F190" s="13">
        <v>0</v>
      </c>
      <c r="G190" s="1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13" hidden="1" x14ac:dyDescent="0.15">
      <c r="A191" s="390"/>
      <c r="B191" s="387"/>
      <c r="C191" s="387"/>
      <c r="D191" s="65" t="s">
        <v>240</v>
      </c>
      <c r="E191" s="65" t="s">
        <v>241</v>
      </c>
      <c r="F191" s="13">
        <v>0</v>
      </c>
      <c r="G191" s="1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3" hidden="1" x14ac:dyDescent="0.15">
      <c r="A192" s="390"/>
      <c r="B192" s="387"/>
      <c r="C192" s="387"/>
      <c r="D192" s="65" t="s">
        <v>240</v>
      </c>
      <c r="E192" s="65" t="s">
        <v>242</v>
      </c>
      <c r="F192" s="13">
        <v>0</v>
      </c>
      <c r="G192" s="1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13" hidden="1" x14ac:dyDescent="0.15">
      <c r="A193" s="390"/>
      <c r="B193" s="387"/>
      <c r="C193" s="387"/>
      <c r="D193" s="65" t="s">
        <v>240</v>
      </c>
      <c r="E193" s="65" t="s">
        <v>243</v>
      </c>
      <c r="F193" s="13">
        <v>0</v>
      </c>
      <c r="G193" s="1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3" hidden="1" x14ac:dyDescent="0.15">
      <c r="A194" s="390"/>
      <c r="B194" s="387"/>
      <c r="C194" s="387"/>
      <c r="D194" s="65" t="s">
        <v>240</v>
      </c>
      <c r="E194" s="65" t="s">
        <v>244</v>
      </c>
      <c r="F194" s="13">
        <v>0</v>
      </c>
      <c r="G194" s="1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13" hidden="1" x14ac:dyDescent="0.15">
      <c r="A195" s="390"/>
      <c r="B195" s="387"/>
      <c r="C195" s="387"/>
      <c r="D195" s="65" t="s">
        <v>240</v>
      </c>
      <c r="E195" s="65" t="s">
        <v>245</v>
      </c>
      <c r="F195" s="13">
        <v>0</v>
      </c>
      <c r="G195" s="1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13" hidden="1" x14ac:dyDescent="0.15">
      <c r="A196" s="390"/>
      <c r="B196" s="387"/>
      <c r="C196" s="387"/>
      <c r="D196" s="65" t="s">
        <v>246</v>
      </c>
      <c r="E196" s="65" t="s">
        <v>234</v>
      </c>
      <c r="F196" s="13">
        <v>4.99</v>
      </c>
      <c r="G196" s="1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13" hidden="1" x14ac:dyDescent="0.15">
      <c r="A197" s="390"/>
      <c r="B197" s="387"/>
      <c r="C197" s="387"/>
      <c r="D197" s="65" t="s">
        <v>246</v>
      </c>
      <c r="E197" s="65" t="s">
        <v>18</v>
      </c>
      <c r="F197" s="13">
        <v>2.99</v>
      </c>
      <c r="G197" s="1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13" hidden="1" x14ac:dyDescent="0.15">
      <c r="A198" s="390"/>
      <c r="B198" s="387"/>
      <c r="C198" s="387"/>
      <c r="D198" s="65" t="s">
        <v>246</v>
      </c>
      <c r="E198" s="65" t="s">
        <v>235</v>
      </c>
      <c r="F198" s="13">
        <v>2.99</v>
      </c>
      <c r="G198" s="1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13" hidden="1" x14ac:dyDescent="0.15">
      <c r="A199" s="390"/>
      <c r="B199" s="387"/>
      <c r="C199" s="387"/>
      <c r="D199" s="65" t="s">
        <v>246</v>
      </c>
      <c r="E199" s="65" t="s">
        <v>236</v>
      </c>
      <c r="F199" s="13">
        <v>2.99</v>
      </c>
      <c r="G199" s="1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13" hidden="1" x14ac:dyDescent="0.15">
      <c r="A200" s="390"/>
      <c r="B200" s="387"/>
      <c r="C200" s="387"/>
      <c r="D200" s="65" t="s">
        <v>246</v>
      </c>
      <c r="E200" s="65" t="s">
        <v>19</v>
      </c>
      <c r="F200" s="13">
        <v>0.99</v>
      </c>
      <c r="G200" s="1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13" hidden="1" x14ac:dyDescent="0.15">
      <c r="A201" s="390"/>
      <c r="B201" s="387"/>
      <c r="C201" s="387"/>
      <c r="D201" s="65" t="s">
        <v>246</v>
      </c>
      <c r="E201" s="65" t="s">
        <v>237</v>
      </c>
      <c r="F201" s="13">
        <v>2.99</v>
      </c>
      <c r="G201" s="1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13" hidden="1" x14ac:dyDescent="0.15">
      <c r="A202" s="390"/>
      <c r="B202" s="387"/>
      <c r="C202" s="387"/>
      <c r="D202" s="65" t="s">
        <v>246</v>
      </c>
      <c r="E202" s="65" t="s">
        <v>238</v>
      </c>
      <c r="F202" s="13">
        <v>2.99</v>
      </c>
      <c r="G202" s="1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13" hidden="1" x14ac:dyDescent="0.15">
      <c r="A203" s="390"/>
      <c r="B203" s="387"/>
      <c r="C203" s="387"/>
      <c r="D203" s="65" t="s">
        <v>246</v>
      </c>
      <c r="E203" s="65" t="s">
        <v>247</v>
      </c>
      <c r="F203" s="13">
        <v>0.99</v>
      </c>
      <c r="G203" s="1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13" hidden="1" x14ac:dyDescent="0.15">
      <c r="A204" s="390"/>
      <c r="B204" s="387"/>
      <c r="C204" s="387"/>
      <c r="D204" s="65" t="s">
        <v>246</v>
      </c>
      <c r="E204" s="65" t="s">
        <v>248</v>
      </c>
      <c r="F204" s="13">
        <v>0.99</v>
      </c>
      <c r="G204" s="1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13" hidden="1" x14ac:dyDescent="0.15">
      <c r="A205" s="390"/>
      <c r="B205" s="387"/>
      <c r="C205" s="387"/>
      <c r="D205" s="65" t="s">
        <v>246</v>
      </c>
      <c r="E205" s="65" t="s">
        <v>249</v>
      </c>
      <c r="F205" s="13">
        <v>0.99</v>
      </c>
      <c r="G205" s="1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13" hidden="1" x14ac:dyDescent="0.15">
      <c r="A206" s="390"/>
      <c r="B206" s="387"/>
      <c r="C206" s="387"/>
      <c r="D206" s="65" t="s">
        <v>246</v>
      </c>
      <c r="E206" s="65" t="s">
        <v>250</v>
      </c>
      <c r="F206" s="13">
        <v>0.99</v>
      </c>
      <c r="G206" s="1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13" hidden="1" x14ac:dyDescent="0.15">
      <c r="A207" s="390"/>
      <c r="B207" s="387"/>
      <c r="C207" s="387"/>
      <c r="D207" s="65" t="s">
        <v>246</v>
      </c>
      <c r="E207" s="65" t="s">
        <v>251</v>
      </c>
      <c r="F207" s="13">
        <v>1.99</v>
      </c>
      <c r="G207" s="1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13" hidden="1" x14ac:dyDescent="0.15">
      <c r="A208" s="390"/>
      <c r="B208" s="388"/>
      <c r="C208" s="388"/>
      <c r="D208" s="65" t="s">
        <v>246</v>
      </c>
      <c r="E208" s="65" t="s">
        <v>252</v>
      </c>
      <c r="F208" s="13">
        <v>0.99</v>
      </c>
      <c r="G208" s="1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13" hidden="1" x14ac:dyDescent="0.15">
      <c r="A209" s="393" t="s">
        <v>253</v>
      </c>
      <c r="B209" s="365" t="s">
        <v>254</v>
      </c>
      <c r="C209" s="61" t="s">
        <v>255</v>
      </c>
      <c r="D209" s="65"/>
      <c r="E209" s="65"/>
      <c r="F209" s="14">
        <v>3.99</v>
      </c>
      <c r="G209" s="15"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13" hidden="1" x14ac:dyDescent="0.15">
      <c r="A210" s="390"/>
      <c r="B210" s="368"/>
      <c r="C210" s="42" t="s">
        <v>256</v>
      </c>
      <c r="D210" s="42"/>
      <c r="E210" s="42"/>
      <c r="F210" s="14">
        <v>3.99</v>
      </c>
      <c r="G210" s="15"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13" hidden="1" x14ac:dyDescent="0.15">
      <c r="A211" s="390"/>
      <c r="B211" s="368"/>
      <c r="C211" s="42" t="s">
        <v>257</v>
      </c>
      <c r="D211" s="42"/>
      <c r="E211" s="42"/>
      <c r="F211" s="14">
        <v>3.99</v>
      </c>
      <c r="G211" s="15"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13" hidden="1" x14ac:dyDescent="0.15">
      <c r="A212" s="390"/>
      <c r="B212" s="368"/>
      <c r="C212" s="42" t="s">
        <v>11</v>
      </c>
      <c r="D212" s="42"/>
      <c r="E212" s="42"/>
      <c r="F212" s="14">
        <v>3.99</v>
      </c>
      <c r="G212" s="15"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13" hidden="1" x14ac:dyDescent="0.15">
      <c r="A213" s="390"/>
      <c r="B213" s="368"/>
      <c r="C213" s="42" t="s">
        <v>258</v>
      </c>
      <c r="D213" s="42"/>
      <c r="E213" s="42"/>
      <c r="F213" s="14">
        <v>3.99</v>
      </c>
      <c r="G213" s="15"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13" hidden="1" x14ac:dyDescent="0.15">
      <c r="A214" s="390"/>
      <c r="B214" s="368"/>
      <c r="C214" s="42" t="s">
        <v>259</v>
      </c>
      <c r="D214" s="42"/>
      <c r="E214" s="42"/>
      <c r="F214" s="14">
        <v>3.99</v>
      </c>
      <c r="G214" s="15"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13" hidden="1" x14ac:dyDescent="0.15">
      <c r="A215" s="390"/>
      <c r="B215" s="368"/>
      <c r="C215" s="42" t="s">
        <v>260</v>
      </c>
      <c r="D215" s="42"/>
      <c r="E215" s="42"/>
      <c r="F215" s="14">
        <v>3.99</v>
      </c>
      <c r="G215" s="15"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13" hidden="1" x14ac:dyDescent="0.15">
      <c r="A216" s="390"/>
      <c r="B216" s="368"/>
      <c r="C216" s="42" t="s">
        <v>261</v>
      </c>
      <c r="D216" s="42"/>
      <c r="E216" s="42"/>
      <c r="F216" s="14">
        <v>3.99</v>
      </c>
      <c r="G216" s="15"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13" hidden="1" x14ac:dyDescent="0.15">
      <c r="A217" s="390"/>
      <c r="B217" s="368"/>
      <c r="C217" s="42" t="s">
        <v>262</v>
      </c>
      <c r="D217" s="42"/>
      <c r="E217" s="42"/>
      <c r="F217" s="14">
        <v>3.99</v>
      </c>
      <c r="G217" s="15"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13" hidden="1" x14ac:dyDescent="0.15">
      <c r="A218" s="390"/>
      <c r="B218" s="368"/>
      <c r="C218" s="42" t="s">
        <v>263</v>
      </c>
      <c r="D218" s="42"/>
      <c r="E218" s="42"/>
      <c r="F218" s="14">
        <v>3.99</v>
      </c>
      <c r="G218" s="15"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13" hidden="1" x14ac:dyDescent="0.15">
      <c r="A219" s="390"/>
      <c r="B219" s="368"/>
      <c r="C219" s="42" t="s">
        <v>264</v>
      </c>
      <c r="D219" s="42"/>
      <c r="E219" s="42"/>
      <c r="F219" s="14">
        <v>3.99</v>
      </c>
      <c r="G219" s="1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12.75" hidden="1" customHeight="1" x14ac:dyDescent="0.15">
      <c r="A220" s="390"/>
      <c r="B220" s="368"/>
      <c r="C220" s="42" t="s">
        <v>265</v>
      </c>
      <c r="D220" s="42"/>
      <c r="E220" s="42"/>
      <c r="F220" s="14">
        <v>3.99</v>
      </c>
      <c r="G220" s="1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12.75" hidden="1" customHeight="1" x14ac:dyDescent="0.15">
      <c r="A221" s="390"/>
      <c r="B221" s="368"/>
      <c r="C221" s="42" t="s">
        <v>266</v>
      </c>
      <c r="D221" s="42"/>
      <c r="E221" s="42"/>
      <c r="F221" s="14">
        <v>3.99</v>
      </c>
      <c r="G221" s="1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12.75" hidden="1" customHeight="1" x14ac:dyDescent="0.15">
      <c r="A222" s="390"/>
      <c r="B222" s="368"/>
      <c r="C222" s="42" t="s">
        <v>267</v>
      </c>
      <c r="D222" s="42"/>
      <c r="E222" s="42"/>
      <c r="F222" s="14">
        <v>3.99</v>
      </c>
      <c r="G222" s="15">
        <v>0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12.75" hidden="1" customHeight="1" x14ac:dyDescent="0.15">
      <c r="A223" s="390"/>
      <c r="B223" s="368"/>
      <c r="C223" s="42" t="s">
        <v>268</v>
      </c>
      <c r="D223" s="42"/>
      <c r="E223" s="42"/>
      <c r="F223" s="14"/>
      <c r="G223" s="15">
        <v>0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12.75" hidden="1" customHeight="1" x14ac:dyDescent="0.15">
      <c r="A224" s="390"/>
      <c r="B224" s="365" t="s">
        <v>269</v>
      </c>
      <c r="C224" s="42" t="s">
        <v>270</v>
      </c>
      <c r="D224" s="42"/>
      <c r="E224" s="42"/>
      <c r="F224" s="14">
        <v>4.8899999999999997</v>
      </c>
      <c r="G224" s="15">
        <v>0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12.75" hidden="1" customHeight="1" x14ac:dyDescent="0.15">
      <c r="A225" s="390"/>
      <c r="B225" s="368"/>
      <c r="C225" s="42" t="s">
        <v>271</v>
      </c>
      <c r="D225" s="42"/>
      <c r="E225" s="42"/>
      <c r="F225" s="14">
        <v>4.8899999999999997</v>
      </c>
      <c r="G225" s="15">
        <v>0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12.75" hidden="1" customHeight="1" x14ac:dyDescent="0.15">
      <c r="A226" s="390"/>
      <c r="B226" s="368"/>
      <c r="C226" s="42" t="s">
        <v>272</v>
      </c>
      <c r="D226" s="42"/>
      <c r="E226" s="42"/>
      <c r="F226" s="14">
        <v>4.8899999999999997</v>
      </c>
      <c r="G226" s="15">
        <v>0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12.75" hidden="1" customHeight="1" x14ac:dyDescent="0.15">
      <c r="A227" s="390"/>
      <c r="B227" s="368"/>
      <c r="C227" s="42" t="s">
        <v>273</v>
      </c>
      <c r="D227" s="42"/>
      <c r="E227" s="42"/>
      <c r="F227" s="14">
        <v>4.8899999999999997</v>
      </c>
      <c r="G227" s="15">
        <v>0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12.75" hidden="1" customHeight="1" x14ac:dyDescent="0.15">
      <c r="A228" s="390"/>
      <c r="B228" s="366"/>
      <c r="C228" s="42" t="s">
        <v>274</v>
      </c>
      <c r="D228" s="42"/>
      <c r="E228" s="42"/>
      <c r="F228" s="14">
        <v>3.99</v>
      </c>
      <c r="G228" s="1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12.75" hidden="1" customHeight="1" x14ac:dyDescent="0.15">
      <c r="A229" s="390"/>
      <c r="B229" s="365" t="s">
        <v>275</v>
      </c>
      <c r="C229" s="42" t="s">
        <v>276</v>
      </c>
      <c r="D229" s="42"/>
      <c r="E229" s="42"/>
      <c r="F229" s="14">
        <v>4.8899999999999997</v>
      </c>
      <c r="G229" s="15">
        <v>0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15.75" hidden="1" customHeight="1" x14ac:dyDescent="0.15">
      <c r="A230" s="390"/>
      <c r="B230" s="368"/>
      <c r="C230" s="46" t="s">
        <v>277</v>
      </c>
      <c r="D230" s="46"/>
      <c r="E230" s="46"/>
      <c r="F230" s="14">
        <v>4.8899999999999997</v>
      </c>
      <c r="G230" s="15">
        <v>0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12.75" hidden="1" customHeight="1" x14ac:dyDescent="0.15">
      <c r="A231" s="390"/>
      <c r="B231" s="368"/>
      <c r="C231" s="42" t="s">
        <v>278</v>
      </c>
      <c r="D231" s="42"/>
      <c r="E231" s="42"/>
      <c r="F231" s="14">
        <v>4.8899999999999997</v>
      </c>
      <c r="G231" s="15">
        <v>0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12.75" hidden="1" customHeight="1" x14ac:dyDescent="0.15">
      <c r="A232" s="390"/>
      <c r="B232" s="366"/>
      <c r="C232" s="42" t="s">
        <v>279</v>
      </c>
      <c r="D232" s="42"/>
      <c r="E232" s="42"/>
      <c r="F232" s="14">
        <v>4.8899999999999997</v>
      </c>
      <c r="G232" s="1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12.75" hidden="1" customHeight="1" x14ac:dyDescent="0.15">
      <c r="A233" s="390"/>
      <c r="B233" s="365" t="s">
        <v>280</v>
      </c>
      <c r="C233" s="42" t="s">
        <v>281</v>
      </c>
      <c r="D233" s="42"/>
      <c r="E233" s="42"/>
      <c r="F233" s="14">
        <v>3.99</v>
      </c>
      <c r="G233" s="15">
        <v>0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12.75" hidden="1" customHeight="1" x14ac:dyDescent="0.15">
      <c r="A234" s="390"/>
      <c r="B234" s="368"/>
      <c r="C234" s="42" t="s">
        <v>282</v>
      </c>
      <c r="D234" s="42"/>
      <c r="E234" s="42"/>
      <c r="F234" s="14">
        <v>3.99</v>
      </c>
      <c r="G234" s="15">
        <v>0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12.75" hidden="1" customHeight="1" x14ac:dyDescent="0.15">
      <c r="A235" s="390"/>
      <c r="B235" s="368"/>
      <c r="C235" s="42" t="s">
        <v>262</v>
      </c>
      <c r="D235" s="42"/>
      <c r="E235" s="42"/>
      <c r="F235" s="14">
        <v>3.99</v>
      </c>
      <c r="G235" s="15">
        <v>0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12.75" hidden="1" customHeight="1" x14ac:dyDescent="0.15">
      <c r="A236" s="390"/>
      <c r="B236" s="368"/>
      <c r="C236" s="42" t="s">
        <v>283</v>
      </c>
      <c r="D236" s="42"/>
      <c r="E236" s="42"/>
      <c r="F236" s="14">
        <v>3.99</v>
      </c>
      <c r="G236" s="15">
        <v>0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12.75" hidden="1" customHeight="1" x14ac:dyDescent="0.15">
      <c r="A237" s="390"/>
      <c r="B237" s="366"/>
      <c r="C237" s="39" t="s">
        <v>284</v>
      </c>
      <c r="D237" s="39"/>
      <c r="E237" s="39"/>
      <c r="F237" s="14">
        <v>3.49</v>
      </c>
      <c r="G237" s="15">
        <v>0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12.75" hidden="1" customHeight="1" x14ac:dyDescent="0.15">
      <c r="A238" s="390"/>
      <c r="B238" s="365" t="s">
        <v>285</v>
      </c>
      <c r="C238" s="46" t="s">
        <v>281</v>
      </c>
      <c r="D238" s="46"/>
      <c r="E238" s="46"/>
      <c r="F238" s="14">
        <v>3.79</v>
      </c>
      <c r="G238" s="15">
        <v>0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12.75" hidden="1" customHeight="1" x14ac:dyDescent="0.15">
      <c r="A239" s="390"/>
      <c r="B239" s="368"/>
      <c r="C239" s="42" t="s">
        <v>282</v>
      </c>
      <c r="D239" s="42"/>
      <c r="E239" s="42"/>
      <c r="F239" s="14">
        <v>3.79</v>
      </c>
      <c r="G239" s="15">
        <v>0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12.75" hidden="1" customHeight="1" x14ac:dyDescent="0.15">
      <c r="A240" s="390"/>
      <c r="B240" s="368"/>
      <c r="C240" s="42" t="s">
        <v>262</v>
      </c>
      <c r="D240" s="42"/>
      <c r="E240" s="42"/>
      <c r="F240" s="14">
        <v>3.79</v>
      </c>
      <c r="G240" s="15">
        <v>0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12.75" hidden="1" customHeight="1" x14ac:dyDescent="0.15">
      <c r="A241" s="390"/>
      <c r="B241" s="366"/>
      <c r="C241" s="39" t="s">
        <v>286</v>
      </c>
      <c r="D241" s="39"/>
      <c r="E241" s="39"/>
      <c r="F241" s="14">
        <v>3.79</v>
      </c>
      <c r="G241" s="15">
        <v>0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12.75" hidden="1" customHeight="1" x14ac:dyDescent="0.15">
      <c r="A242" s="390"/>
      <c r="B242" s="365" t="s">
        <v>287</v>
      </c>
      <c r="C242" s="42" t="s">
        <v>288</v>
      </c>
      <c r="D242" s="42"/>
      <c r="E242" s="42"/>
      <c r="F242" s="14">
        <v>4.29</v>
      </c>
      <c r="G242" s="15">
        <v>0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12.75" hidden="1" customHeight="1" x14ac:dyDescent="0.15">
      <c r="A243" s="390"/>
      <c r="B243" s="368"/>
      <c r="C243" s="42" t="s">
        <v>289</v>
      </c>
      <c r="D243" s="42"/>
      <c r="E243" s="42"/>
      <c r="F243" s="14">
        <v>4.29</v>
      </c>
      <c r="G243" s="15">
        <v>0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12.75" hidden="1" customHeight="1" x14ac:dyDescent="0.15">
      <c r="A244" s="390"/>
      <c r="B244" s="368"/>
      <c r="C244" s="66" t="s">
        <v>290</v>
      </c>
      <c r="D244" s="66"/>
      <c r="E244" s="66"/>
      <c r="F244" s="18">
        <v>4.29</v>
      </c>
      <c r="G244" s="15">
        <v>0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17.25" hidden="1" customHeight="1" x14ac:dyDescent="0.15">
      <c r="A245" s="390"/>
      <c r="B245" s="368"/>
      <c r="C245" s="46" t="s">
        <v>291</v>
      </c>
      <c r="D245" s="46"/>
      <c r="E245" s="46"/>
      <c r="F245" s="14">
        <v>4.29</v>
      </c>
      <c r="G245" s="15">
        <v>0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16.5" hidden="1" customHeight="1" x14ac:dyDescent="0.15">
      <c r="A246" s="390"/>
      <c r="B246" s="368"/>
      <c r="C246" s="46" t="s">
        <v>292</v>
      </c>
      <c r="D246" s="46"/>
      <c r="E246" s="46"/>
      <c r="F246" s="14">
        <v>4.29</v>
      </c>
      <c r="G246" s="15">
        <v>0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12.75" hidden="1" customHeight="1" x14ac:dyDescent="0.15">
      <c r="A247" s="390"/>
      <c r="B247" s="368"/>
      <c r="C247" s="42" t="s">
        <v>293</v>
      </c>
      <c r="D247" s="42"/>
      <c r="E247" s="42"/>
      <c r="F247" s="14">
        <v>4.79</v>
      </c>
      <c r="G247" s="15">
        <v>0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12.75" hidden="1" customHeight="1" x14ac:dyDescent="0.15">
      <c r="A248" s="390"/>
      <c r="B248" s="368"/>
      <c r="C248" s="46" t="s">
        <v>294</v>
      </c>
      <c r="D248" s="46"/>
      <c r="E248" s="46"/>
      <c r="F248" s="14">
        <v>4.29</v>
      </c>
      <c r="G248" s="15">
        <v>0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15" hidden="1" customHeight="1" x14ac:dyDescent="0.15">
      <c r="A249" s="390"/>
      <c r="B249" s="366"/>
      <c r="C249" s="46" t="s">
        <v>295</v>
      </c>
      <c r="D249" s="46"/>
      <c r="E249" s="46"/>
      <c r="F249" s="14">
        <v>4.29</v>
      </c>
      <c r="G249" s="15">
        <v>0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12.75" hidden="1" customHeight="1" x14ac:dyDescent="0.15">
      <c r="A250" s="390"/>
      <c r="B250" s="365" t="s">
        <v>296</v>
      </c>
      <c r="C250" s="42" t="s">
        <v>297</v>
      </c>
      <c r="D250" s="42"/>
      <c r="E250" s="42"/>
      <c r="F250" s="14">
        <v>2.4900000000000002</v>
      </c>
      <c r="G250" s="15">
        <v>0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12.75" hidden="1" customHeight="1" x14ac:dyDescent="0.15">
      <c r="A251" s="390"/>
      <c r="B251" s="368"/>
      <c r="C251" s="42" t="s">
        <v>298</v>
      </c>
      <c r="D251" s="42"/>
      <c r="E251" s="42"/>
      <c r="F251" s="18">
        <v>3.79</v>
      </c>
      <c r="G251" s="15">
        <v>0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12.75" hidden="1" customHeight="1" x14ac:dyDescent="0.15">
      <c r="A252" s="390"/>
      <c r="B252" s="368"/>
      <c r="C252" s="42" t="s">
        <v>299</v>
      </c>
      <c r="D252" s="42"/>
      <c r="E252" s="42"/>
      <c r="F252" s="14">
        <v>3.99</v>
      </c>
      <c r="G252" s="15">
        <v>0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12.75" hidden="1" customHeight="1" x14ac:dyDescent="0.15">
      <c r="A253" s="390"/>
      <c r="B253" s="368"/>
      <c r="C253" s="42" t="s">
        <v>300</v>
      </c>
      <c r="D253" s="42"/>
      <c r="E253" s="42"/>
      <c r="F253" s="14">
        <v>3.99</v>
      </c>
      <c r="G253" s="15">
        <v>0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12.75" hidden="1" customHeight="1" x14ac:dyDescent="0.15">
      <c r="A254" s="390"/>
      <c r="B254" s="368"/>
      <c r="C254" s="42" t="s">
        <v>261</v>
      </c>
      <c r="D254" s="42"/>
      <c r="E254" s="42"/>
      <c r="F254" s="14">
        <v>2.75</v>
      </c>
      <c r="G254" s="15">
        <v>0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12.75" hidden="1" customHeight="1" x14ac:dyDescent="0.15">
      <c r="A255" s="390"/>
      <c r="B255" s="368"/>
      <c r="C255" s="48" t="s">
        <v>301</v>
      </c>
      <c r="D255" s="48"/>
      <c r="E255" s="48"/>
      <c r="F255" s="68"/>
      <c r="G255" s="15">
        <v>0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12.75" hidden="1" customHeight="1" x14ac:dyDescent="0.15">
      <c r="A256" s="390"/>
      <c r="B256" s="366"/>
      <c r="C256" s="42" t="s">
        <v>302</v>
      </c>
      <c r="D256" s="42"/>
      <c r="E256" s="42"/>
      <c r="F256" s="14">
        <v>4.49</v>
      </c>
      <c r="G256" s="15">
        <v>0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12.75" hidden="1" customHeight="1" x14ac:dyDescent="0.15">
      <c r="A257" s="390"/>
      <c r="B257" s="365" t="s">
        <v>303</v>
      </c>
      <c r="C257" s="42" t="s">
        <v>304</v>
      </c>
      <c r="D257" s="42"/>
      <c r="E257" s="42"/>
      <c r="F257" s="14">
        <v>3.49</v>
      </c>
      <c r="G257" s="15">
        <v>0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12.75" hidden="1" customHeight="1" x14ac:dyDescent="0.15">
      <c r="A258" s="390"/>
      <c r="B258" s="366"/>
      <c r="C258" s="42" t="s">
        <v>305</v>
      </c>
      <c r="D258" s="42"/>
      <c r="E258" s="42"/>
      <c r="F258" s="14">
        <v>3.49</v>
      </c>
      <c r="G258" s="15">
        <v>0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12.75" hidden="1" customHeight="1" x14ac:dyDescent="0.15">
      <c r="A259" s="390"/>
      <c r="B259" s="365" t="s">
        <v>306</v>
      </c>
      <c r="C259" s="42" t="s">
        <v>307</v>
      </c>
      <c r="D259" s="42"/>
      <c r="E259" s="42"/>
      <c r="F259" s="14">
        <v>2.4900000000000002</v>
      </c>
      <c r="G259" s="15">
        <v>0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12.75" hidden="1" customHeight="1" x14ac:dyDescent="0.15">
      <c r="A260" s="390"/>
      <c r="B260" s="366"/>
      <c r="C260" s="42" t="s">
        <v>308</v>
      </c>
      <c r="D260" s="42"/>
      <c r="E260" s="42"/>
      <c r="F260" s="14">
        <v>3.48</v>
      </c>
      <c r="G260" s="15">
        <v>0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12.75" hidden="1" customHeight="1" x14ac:dyDescent="0.15">
      <c r="A261" s="390"/>
      <c r="B261" s="365" t="s">
        <v>309</v>
      </c>
      <c r="C261" s="42" t="s">
        <v>310</v>
      </c>
      <c r="D261" s="42"/>
      <c r="E261" s="42"/>
      <c r="F261" s="14">
        <v>3.79</v>
      </c>
      <c r="G261" s="15">
        <v>0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12.75" hidden="1" customHeight="1" x14ac:dyDescent="0.15">
      <c r="A262" s="390"/>
      <c r="B262" s="368"/>
      <c r="C262" s="42" t="s">
        <v>281</v>
      </c>
      <c r="D262" s="42"/>
      <c r="E262" s="42"/>
      <c r="F262" s="14">
        <v>3.79</v>
      </c>
      <c r="G262" s="15">
        <v>0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12.75" hidden="1" customHeight="1" x14ac:dyDescent="0.15">
      <c r="A263" s="390"/>
      <c r="B263" s="366"/>
      <c r="C263" s="42" t="s">
        <v>256</v>
      </c>
      <c r="D263" s="42"/>
      <c r="E263" s="42"/>
      <c r="F263" s="14">
        <v>3.79</v>
      </c>
      <c r="G263" s="15">
        <v>0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12.75" hidden="1" customHeight="1" x14ac:dyDescent="0.15">
      <c r="A264" s="390"/>
      <c r="B264" s="365" t="s">
        <v>311</v>
      </c>
      <c r="C264" s="42" t="s">
        <v>310</v>
      </c>
      <c r="D264" s="42"/>
      <c r="E264" s="42"/>
      <c r="F264" s="14">
        <v>2.69</v>
      </c>
      <c r="G264" s="15">
        <v>0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12.75" hidden="1" customHeight="1" x14ac:dyDescent="0.15">
      <c r="A265" s="390"/>
      <c r="B265" s="366"/>
      <c r="C265" s="42" t="s">
        <v>281</v>
      </c>
      <c r="D265" s="42"/>
      <c r="E265" s="42"/>
      <c r="F265" s="14">
        <v>2.69</v>
      </c>
      <c r="G265" s="15">
        <v>0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12.75" hidden="1" customHeight="1" x14ac:dyDescent="0.15">
      <c r="A266" s="390"/>
      <c r="B266" s="365" t="s">
        <v>312</v>
      </c>
      <c r="C266" s="42" t="s">
        <v>310</v>
      </c>
      <c r="D266" s="42"/>
      <c r="E266" s="42"/>
      <c r="F266" s="14">
        <v>7.49</v>
      </c>
      <c r="G266" s="1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12.75" hidden="1" customHeight="1" x14ac:dyDescent="0.15">
      <c r="A267" s="390"/>
      <c r="B267" s="366"/>
      <c r="C267" s="42" t="s">
        <v>281</v>
      </c>
      <c r="D267" s="42"/>
      <c r="E267" s="42"/>
      <c r="F267" s="14">
        <v>7.49</v>
      </c>
      <c r="G267" s="1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12.75" hidden="1" customHeight="1" x14ac:dyDescent="0.15">
      <c r="A268" s="390"/>
      <c r="B268" s="365" t="s">
        <v>313</v>
      </c>
      <c r="C268" s="42" t="s">
        <v>281</v>
      </c>
      <c r="D268" s="42"/>
      <c r="E268" s="42"/>
      <c r="F268" s="18">
        <v>5.79</v>
      </c>
      <c r="G268" s="15">
        <v>0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12.75" hidden="1" customHeight="1" x14ac:dyDescent="0.15">
      <c r="A269" s="390"/>
      <c r="B269" s="368"/>
      <c r="C269" s="42" t="s">
        <v>314</v>
      </c>
      <c r="D269" s="42"/>
      <c r="E269" s="42"/>
      <c r="F269" s="18">
        <v>5.79</v>
      </c>
      <c r="G269" s="15">
        <v>0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12.75" hidden="1" customHeight="1" x14ac:dyDescent="0.15">
      <c r="A270" s="390"/>
      <c r="B270" s="368"/>
      <c r="C270" s="42" t="s">
        <v>315</v>
      </c>
      <c r="D270" s="42"/>
      <c r="E270" s="42"/>
      <c r="F270" s="18">
        <v>5.79</v>
      </c>
      <c r="G270" s="15">
        <v>0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ht="13.5" hidden="1" customHeight="1" x14ac:dyDescent="0.15">
      <c r="A271" s="390"/>
      <c r="B271" s="368"/>
      <c r="C271" s="42" t="s">
        <v>316</v>
      </c>
      <c r="D271" s="42"/>
      <c r="E271" s="42"/>
      <c r="F271" s="18">
        <v>5.79</v>
      </c>
      <c r="G271" s="15">
        <v>0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12.75" hidden="1" customHeight="1" x14ac:dyDescent="0.15">
      <c r="A272" s="390"/>
      <c r="B272" s="368"/>
      <c r="C272" s="42" t="s">
        <v>317</v>
      </c>
      <c r="D272" s="42"/>
      <c r="E272" s="42"/>
      <c r="F272" s="18">
        <v>5.79</v>
      </c>
      <c r="G272" s="15">
        <v>0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ht="12.75" hidden="1" customHeight="1" x14ac:dyDescent="0.15">
      <c r="A273" s="390"/>
      <c r="B273" s="368"/>
      <c r="C273" s="42" t="s">
        <v>318</v>
      </c>
      <c r="D273" s="42"/>
      <c r="E273" s="42"/>
      <c r="F273" s="18">
        <v>5.79</v>
      </c>
      <c r="G273" s="15">
        <v>0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12.75" hidden="1" customHeight="1" x14ac:dyDescent="0.15">
      <c r="A274" s="390"/>
      <c r="B274" s="366"/>
      <c r="C274" s="42" t="s">
        <v>319</v>
      </c>
      <c r="D274" s="42"/>
      <c r="E274" s="42"/>
      <c r="F274" s="18">
        <v>5.79</v>
      </c>
      <c r="G274" s="15">
        <v>0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ht="12.75" hidden="1" customHeight="1" x14ac:dyDescent="0.15">
      <c r="A275" s="390"/>
      <c r="B275" s="365" t="s">
        <v>320</v>
      </c>
      <c r="C275" s="42" t="s">
        <v>321</v>
      </c>
      <c r="D275" s="396" t="s">
        <v>322</v>
      </c>
      <c r="E275" s="42"/>
      <c r="F275" s="405">
        <v>2.99</v>
      </c>
      <c r="G275" s="1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12.75" hidden="1" customHeight="1" x14ac:dyDescent="0.15">
      <c r="A276" s="390"/>
      <c r="B276" s="368"/>
      <c r="C276" s="42" t="s">
        <v>8</v>
      </c>
      <c r="D276" s="387"/>
      <c r="E276" s="42"/>
      <c r="F276" s="406"/>
      <c r="G276" s="1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ht="13.5" hidden="1" customHeight="1" x14ac:dyDescent="0.15">
      <c r="A277" s="390"/>
      <c r="B277" s="368"/>
      <c r="C277" s="42" t="s">
        <v>12</v>
      </c>
      <c r="D277" s="387"/>
      <c r="E277" s="42"/>
      <c r="F277" s="406"/>
      <c r="G277" s="1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12.75" hidden="1" customHeight="1" x14ac:dyDescent="0.15">
      <c r="A278" s="390"/>
      <c r="B278" s="368"/>
      <c r="C278" s="42" t="s">
        <v>281</v>
      </c>
      <c r="D278" s="388"/>
      <c r="E278" s="42"/>
      <c r="F278" s="407"/>
      <c r="G278" s="1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ht="12.75" hidden="1" customHeight="1" x14ac:dyDescent="0.15">
      <c r="A279" s="390"/>
      <c r="B279" s="368"/>
      <c r="C279" s="42" t="s">
        <v>323</v>
      </c>
      <c r="D279" s="396" t="s">
        <v>324</v>
      </c>
      <c r="E279" s="42"/>
      <c r="F279" s="405">
        <v>3.5</v>
      </c>
      <c r="G279" s="1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12.75" hidden="1" customHeight="1" x14ac:dyDescent="0.15">
      <c r="A280" s="390"/>
      <c r="B280" s="368"/>
      <c r="C280" s="42" t="s">
        <v>293</v>
      </c>
      <c r="D280" s="387"/>
      <c r="E280" s="42"/>
      <c r="F280" s="406"/>
      <c r="G280" s="1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ht="12.75" hidden="1" customHeight="1" x14ac:dyDescent="0.15">
      <c r="A281" s="390"/>
      <c r="B281" s="368"/>
      <c r="C281" s="42" t="s">
        <v>325</v>
      </c>
      <c r="D281" s="387"/>
      <c r="E281" s="42"/>
      <c r="F281" s="406"/>
      <c r="G281" s="1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12.75" hidden="1" customHeight="1" x14ac:dyDescent="0.15">
      <c r="A282" s="390"/>
      <c r="B282" s="366"/>
      <c r="C282" s="42" t="s">
        <v>262</v>
      </c>
      <c r="D282" s="388"/>
      <c r="E282" s="42"/>
      <c r="F282" s="407"/>
      <c r="G282" s="1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ht="13.5" hidden="1" customHeight="1" x14ac:dyDescent="0.15">
      <c r="A283" s="390"/>
      <c r="B283" s="365" t="s">
        <v>326</v>
      </c>
      <c r="C283" s="46" t="s">
        <v>327</v>
      </c>
      <c r="D283" s="46"/>
      <c r="E283" s="46"/>
      <c r="F283" s="14">
        <v>4.79</v>
      </c>
      <c r="G283" s="15">
        <v>0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12.75" hidden="1" customHeight="1" x14ac:dyDescent="0.15">
      <c r="A284" s="390"/>
      <c r="B284" s="366"/>
      <c r="C284" s="69" t="s">
        <v>328</v>
      </c>
      <c r="D284" s="69"/>
      <c r="E284" s="69"/>
      <c r="F284" s="18">
        <v>4.59</v>
      </c>
      <c r="G284" s="15">
        <v>0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ht="12.75" hidden="1" customHeight="1" x14ac:dyDescent="0.15">
      <c r="A285" s="390"/>
      <c r="B285" s="365" t="s">
        <v>41</v>
      </c>
      <c r="C285" s="46" t="s">
        <v>40</v>
      </c>
      <c r="D285" s="46"/>
      <c r="E285" s="46"/>
      <c r="F285" s="71">
        <v>3.49</v>
      </c>
      <c r="G285" s="15">
        <v>0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13" x14ac:dyDescent="0.15">
      <c r="A286" s="390"/>
      <c r="B286" s="368"/>
      <c r="C286" s="42" t="s">
        <v>329</v>
      </c>
      <c r="D286" s="42"/>
      <c r="E286" s="42"/>
      <c r="F286" s="71">
        <v>10.99</v>
      </c>
      <c r="G286" s="356">
        <f t="shared" ref="G286:G299" si="1">F286*1.04</f>
        <v>11.429600000000001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ht="13" x14ac:dyDescent="0.15">
      <c r="A287" s="390"/>
      <c r="B287" s="368"/>
      <c r="C287" s="42" t="s">
        <v>330</v>
      </c>
      <c r="D287" s="42"/>
      <c r="E287" s="42"/>
      <c r="F287" s="71">
        <v>10.99</v>
      </c>
      <c r="G287" s="356">
        <f t="shared" si="1"/>
        <v>11.429600000000001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13" x14ac:dyDescent="0.15">
      <c r="A288" s="390"/>
      <c r="B288" s="368"/>
      <c r="C288" s="42" t="s">
        <v>331</v>
      </c>
      <c r="D288" s="42"/>
      <c r="E288" s="42"/>
      <c r="F288" s="71">
        <v>10.99</v>
      </c>
      <c r="G288" s="356">
        <f t="shared" si="1"/>
        <v>11.429600000000001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ht="13" x14ac:dyDescent="0.15">
      <c r="A289" s="390"/>
      <c r="B289" s="368"/>
      <c r="C289" s="42" t="s">
        <v>332</v>
      </c>
      <c r="D289" s="42"/>
      <c r="E289" s="42"/>
      <c r="F289" s="71">
        <v>10.99</v>
      </c>
      <c r="G289" s="356">
        <f t="shared" si="1"/>
        <v>11.429600000000001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13" x14ac:dyDescent="0.15">
      <c r="A290" s="390"/>
      <c r="B290" s="368"/>
      <c r="C290" s="42" t="s">
        <v>333</v>
      </c>
      <c r="D290" s="42"/>
      <c r="E290" s="42"/>
      <c r="F290" s="71">
        <v>10.99</v>
      </c>
      <c r="G290" s="356">
        <f t="shared" si="1"/>
        <v>11.429600000000001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ht="13" x14ac:dyDescent="0.15">
      <c r="A291" s="390"/>
      <c r="B291" s="368"/>
      <c r="C291" s="42" t="s">
        <v>334</v>
      </c>
      <c r="D291" s="42"/>
      <c r="E291" s="42"/>
      <c r="F291" s="71">
        <v>13.99</v>
      </c>
      <c r="G291" s="356">
        <f t="shared" si="1"/>
        <v>14.5496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13" x14ac:dyDescent="0.15">
      <c r="A292" s="390"/>
      <c r="B292" s="368"/>
      <c r="C292" s="42" t="s">
        <v>335</v>
      </c>
      <c r="D292" s="42"/>
      <c r="E292" s="42"/>
      <c r="F292" s="71">
        <v>11.99</v>
      </c>
      <c r="G292" s="356">
        <f t="shared" si="1"/>
        <v>12.4696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ht="13" x14ac:dyDescent="0.15">
      <c r="A293" s="390"/>
      <c r="B293" s="366"/>
      <c r="C293" s="42" t="s">
        <v>336</v>
      </c>
      <c r="D293" s="42"/>
      <c r="E293" s="42"/>
      <c r="F293" s="71">
        <v>11.99</v>
      </c>
      <c r="G293" s="356">
        <f t="shared" si="1"/>
        <v>12.4696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13" x14ac:dyDescent="0.15">
      <c r="A294" s="390"/>
      <c r="B294" s="365" t="s">
        <v>337</v>
      </c>
      <c r="C294" s="42" t="s">
        <v>338</v>
      </c>
      <c r="D294" s="42"/>
      <c r="E294" s="42"/>
      <c r="F294" s="71">
        <v>12.69</v>
      </c>
      <c r="G294" s="356">
        <f t="shared" si="1"/>
        <v>13.1976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ht="13" x14ac:dyDescent="0.15">
      <c r="A295" s="390"/>
      <c r="B295" s="368"/>
      <c r="C295" s="42" t="s">
        <v>339</v>
      </c>
      <c r="D295" s="42"/>
      <c r="E295" s="42"/>
      <c r="F295" s="71">
        <v>12.69</v>
      </c>
      <c r="G295" s="356">
        <f t="shared" si="1"/>
        <v>13.1976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13" x14ac:dyDescent="0.15">
      <c r="A296" s="390"/>
      <c r="B296" s="368"/>
      <c r="C296" s="42" t="s">
        <v>340</v>
      </c>
      <c r="D296" s="42"/>
      <c r="E296" s="42"/>
      <c r="F296" s="71">
        <v>12.99</v>
      </c>
      <c r="G296" s="356">
        <f t="shared" si="1"/>
        <v>13.509600000000001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13" x14ac:dyDescent="0.15">
      <c r="A297" s="390"/>
      <c r="B297" s="368"/>
      <c r="C297" s="42" t="s">
        <v>341</v>
      </c>
      <c r="D297" s="42"/>
      <c r="E297" s="42"/>
      <c r="F297" s="71">
        <v>19.989999999999998</v>
      </c>
      <c r="G297" s="356">
        <f t="shared" si="1"/>
        <v>20.7896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13" x14ac:dyDescent="0.15">
      <c r="A298" s="390"/>
      <c r="B298" s="368"/>
      <c r="C298" s="42" t="s">
        <v>342</v>
      </c>
      <c r="D298" s="42"/>
      <c r="E298" s="42"/>
      <c r="F298" s="71">
        <v>11.49</v>
      </c>
      <c r="G298" s="356">
        <f t="shared" si="1"/>
        <v>11.9496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ht="13" x14ac:dyDescent="0.15">
      <c r="A299" s="390"/>
      <c r="B299" s="368"/>
      <c r="C299" s="42" t="s">
        <v>343</v>
      </c>
      <c r="D299" s="42"/>
      <c r="E299" s="42"/>
      <c r="F299" s="71">
        <v>14.99</v>
      </c>
      <c r="G299" s="356">
        <f t="shared" si="1"/>
        <v>15.589600000000001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12.75" hidden="1" customHeight="1" x14ac:dyDescent="0.15">
      <c r="A300" s="390"/>
      <c r="B300" s="368"/>
      <c r="C300" s="42" t="s">
        <v>344</v>
      </c>
      <c r="D300" s="42"/>
      <c r="E300" s="42"/>
      <c r="F300" s="71">
        <v>24.99</v>
      </c>
      <c r="G300" s="1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ht="13" x14ac:dyDescent="0.15">
      <c r="A301" s="390"/>
      <c r="B301" s="368"/>
      <c r="C301" s="42" t="s">
        <v>345</v>
      </c>
      <c r="D301" s="42"/>
      <c r="E301" s="42"/>
      <c r="F301" s="71">
        <v>15.99</v>
      </c>
      <c r="G301" s="356">
        <f t="shared" ref="G301:G310" si="2">F301*1.04</f>
        <v>16.6296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13" x14ac:dyDescent="0.15">
      <c r="A302" s="390"/>
      <c r="B302" s="368"/>
      <c r="C302" s="42" t="s">
        <v>346</v>
      </c>
      <c r="D302" s="42"/>
      <c r="E302" s="42"/>
      <c r="F302" s="71">
        <v>11.49</v>
      </c>
      <c r="G302" s="356">
        <f t="shared" si="2"/>
        <v>11.9496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ht="13" x14ac:dyDescent="0.15">
      <c r="A303" s="390"/>
      <c r="B303" s="368"/>
      <c r="C303" s="42" t="s">
        <v>347</v>
      </c>
      <c r="D303" s="42"/>
      <c r="E303" s="42"/>
      <c r="F303" s="71">
        <v>10.29</v>
      </c>
      <c r="G303" s="356">
        <f t="shared" si="2"/>
        <v>10.701599999999999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13" x14ac:dyDescent="0.15">
      <c r="A304" s="390"/>
      <c r="B304" s="368"/>
      <c r="C304" s="42" t="s">
        <v>348</v>
      </c>
      <c r="D304" s="42"/>
      <c r="E304" s="42"/>
      <c r="F304" s="71">
        <v>16.989999999999998</v>
      </c>
      <c r="G304" s="356">
        <f t="shared" si="2"/>
        <v>17.669599999999999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13" x14ac:dyDescent="0.15">
      <c r="A305" s="390"/>
      <c r="B305" s="368"/>
      <c r="C305" s="42" t="s">
        <v>349</v>
      </c>
      <c r="D305" s="42"/>
      <c r="E305" s="42"/>
      <c r="F305" s="71">
        <v>24</v>
      </c>
      <c r="G305" s="356">
        <f t="shared" si="2"/>
        <v>24.96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13" x14ac:dyDescent="0.15">
      <c r="A306" s="390"/>
      <c r="B306" s="368"/>
      <c r="C306" s="42" t="s">
        <v>350</v>
      </c>
      <c r="D306" s="42"/>
      <c r="E306" s="42"/>
      <c r="F306" s="71">
        <v>22</v>
      </c>
      <c r="G306" s="356">
        <f t="shared" si="2"/>
        <v>22.880000000000003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ht="13" x14ac:dyDescent="0.15">
      <c r="A307" s="390"/>
      <c r="B307" s="368"/>
      <c r="C307" s="42" t="s">
        <v>351</v>
      </c>
      <c r="D307" s="42"/>
      <c r="E307" s="42"/>
      <c r="F307" s="71">
        <v>19.989999999999998</v>
      </c>
      <c r="G307" s="356">
        <f t="shared" si="2"/>
        <v>20.7896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13" x14ac:dyDescent="0.15">
      <c r="A308" s="390"/>
      <c r="B308" s="368"/>
      <c r="C308" s="42" t="s">
        <v>352</v>
      </c>
      <c r="D308" s="42"/>
      <c r="E308" s="42"/>
      <c r="F308" s="71">
        <v>19.989999999999998</v>
      </c>
      <c r="G308" s="356">
        <f t="shared" si="2"/>
        <v>20.7896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ht="13" x14ac:dyDescent="0.15">
      <c r="A309" s="390"/>
      <c r="B309" s="368"/>
      <c r="C309" s="42" t="s">
        <v>353</v>
      </c>
      <c r="D309" s="42"/>
      <c r="E309" s="42"/>
      <c r="F309" s="71">
        <v>19.989999999999998</v>
      </c>
      <c r="G309" s="356">
        <f t="shared" si="2"/>
        <v>20.7896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14" thickBot="1" x14ac:dyDescent="0.2">
      <c r="A310" s="390"/>
      <c r="B310" s="368"/>
      <c r="C310" s="42" t="s">
        <v>354</v>
      </c>
      <c r="D310" s="42"/>
      <c r="E310" s="42"/>
      <c r="F310" s="71">
        <v>19.989999999999998</v>
      </c>
      <c r="G310" s="356">
        <f t="shared" si="2"/>
        <v>20.7896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ht="14" hidden="1" thickBot="1" x14ac:dyDescent="0.2">
      <c r="A311" s="391"/>
      <c r="B311" s="378"/>
      <c r="C311" s="65" t="s">
        <v>355</v>
      </c>
      <c r="D311" s="65"/>
      <c r="E311" s="65"/>
      <c r="F311" s="71">
        <v>34.99</v>
      </c>
      <c r="G311" s="1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13" x14ac:dyDescent="0.15">
      <c r="A312" s="400" t="s">
        <v>356</v>
      </c>
      <c r="B312" s="399" t="s">
        <v>357</v>
      </c>
      <c r="C312" s="61" t="s">
        <v>358</v>
      </c>
      <c r="D312" s="65"/>
      <c r="E312" s="65"/>
      <c r="F312" s="14">
        <v>2.59</v>
      </c>
      <c r="G312" s="356">
        <f>F312*1.04</f>
        <v>2.6936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ht="13" hidden="1" x14ac:dyDescent="0.15">
      <c r="A313" s="390"/>
      <c r="B313" s="368"/>
      <c r="C313" s="42" t="s">
        <v>359</v>
      </c>
      <c r="D313" s="42"/>
      <c r="E313" s="42"/>
      <c r="F313" s="18">
        <v>0.75</v>
      </c>
      <c r="G313" s="15">
        <v>0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13" hidden="1" x14ac:dyDescent="0.15">
      <c r="A314" s="390"/>
      <c r="B314" s="366"/>
      <c r="C314" s="42" t="s">
        <v>360</v>
      </c>
      <c r="D314" s="42"/>
      <c r="E314" s="42"/>
      <c r="F314" s="18">
        <v>0.75</v>
      </c>
      <c r="G314" s="15">
        <v>0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ht="13" hidden="1" x14ac:dyDescent="0.15">
      <c r="A315" s="390"/>
      <c r="B315" s="365" t="s">
        <v>361</v>
      </c>
      <c r="C315" s="46" t="s">
        <v>362</v>
      </c>
      <c r="D315" s="46"/>
      <c r="E315" s="46"/>
      <c r="F315" s="18">
        <v>3.99</v>
      </c>
      <c r="G315" s="15">
        <v>0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13" hidden="1" x14ac:dyDescent="0.15">
      <c r="A316" s="390"/>
      <c r="B316" s="368"/>
      <c r="C316" s="42" t="s">
        <v>363</v>
      </c>
      <c r="D316" s="42"/>
      <c r="E316" s="42"/>
      <c r="F316" s="18">
        <v>4.25</v>
      </c>
      <c r="G316" s="15">
        <v>0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ht="13" hidden="1" x14ac:dyDescent="0.15">
      <c r="A317" s="390"/>
      <c r="B317" s="366"/>
      <c r="C317" s="42" t="s">
        <v>364</v>
      </c>
      <c r="D317" s="42"/>
      <c r="E317" s="42"/>
      <c r="F317" s="18">
        <v>3.99</v>
      </c>
      <c r="G317" s="15">
        <v>0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13" hidden="1" x14ac:dyDescent="0.15">
      <c r="A318" s="390"/>
      <c r="B318" s="401" t="s">
        <v>365</v>
      </c>
      <c r="C318" s="42" t="s">
        <v>40</v>
      </c>
      <c r="D318" s="42"/>
      <c r="E318" s="42"/>
      <c r="F318" s="18">
        <v>5.99</v>
      </c>
      <c r="G318" s="15">
        <v>0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13" hidden="1" x14ac:dyDescent="0.15">
      <c r="A319" s="390"/>
      <c r="B319" s="366"/>
      <c r="C319" s="42" t="s">
        <v>366</v>
      </c>
      <c r="D319" s="42"/>
      <c r="E319" s="42"/>
      <c r="F319" s="18">
        <v>34.99</v>
      </c>
      <c r="G319" s="15">
        <v>0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13" hidden="1" x14ac:dyDescent="0.15">
      <c r="A320" s="390"/>
      <c r="B320" s="365" t="s">
        <v>367</v>
      </c>
      <c r="C320" s="42" t="s">
        <v>368</v>
      </c>
      <c r="D320" s="42"/>
      <c r="E320" s="42"/>
      <c r="F320" s="71">
        <v>2.29</v>
      </c>
      <c r="G320" s="15">
        <v>0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ht="13" hidden="1" x14ac:dyDescent="0.15">
      <c r="A321" s="390"/>
      <c r="B321" s="368"/>
      <c r="C321" s="72" t="s">
        <v>369</v>
      </c>
      <c r="D321" s="72"/>
      <c r="E321" s="72"/>
      <c r="F321" s="71"/>
      <c r="G321" s="15">
        <v>0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13" hidden="1" x14ac:dyDescent="0.15">
      <c r="A322" s="390"/>
      <c r="B322" s="368"/>
      <c r="C322" s="42" t="s">
        <v>370</v>
      </c>
      <c r="D322" s="42"/>
      <c r="E322" s="42"/>
      <c r="F322" s="71">
        <v>3.19</v>
      </c>
      <c r="G322" s="15">
        <v>0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ht="13" hidden="1" x14ac:dyDescent="0.15">
      <c r="A323" s="390"/>
      <c r="B323" s="368"/>
      <c r="C323" s="42" t="s">
        <v>371</v>
      </c>
      <c r="D323" s="42"/>
      <c r="E323" s="42"/>
      <c r="F323" s="71">
        <v>5.99</v>
      </c>
      <c r="G323" s="15">
        <v>0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13" hidden="1" x14ac:dyDescent="0.15">
      <c r="A324" s="390"/>
      <c r="B324" s="366"/>
      <c r="C324" s="42" t="s">
        <v>372</v>
      </c>
      <c r="D324" s="42"/>
      <c r="E324" s="42"/>
      <c r="F324" s="71">
        <v>1.79</v>
      </c>
      <c r="G324" s="1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ht="13" hidden="1" x14ac:dyDescent="0.15">
      <c r="A325" s="390"/>
      <c r="B325" s="365" t="s">
        <v>373</v>
      </c>
      <c r="C325" s="42" t="s">
        <v>374</v>
      </c>
      <c r="D325" s="42"/>
      <c r="E325" s="42"/>
      <c r="F325" s="18">
        <v>5.49</v>
      </c>
      <c r="G325" s="15">
        <v>0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13" hidden="1" x14ac:dyDescent="0.15">
      <c r="A326" s="390"/>
      <c r="B326" s="368"/>
      <c r="C326" s="42" t="s">
        <v>375</v>
      </c>
      <c r="D326" s="42"/>
      <c r="E326" s="42"/>
      <c r="F326" s="18">
        <v>5.49</v>
      </c>
      <c r="G326" s="15">
        <v>0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ht="13" hidden="1" x14ac:dyDescent="0.15">
      <c r="A327" s="390"/>
      <c r="B327" s="368"/>
      <c r="C327" s="42" t="s">
        <v>376</v>
      </c>
      <c r="D327" s="42"/>
      <c r="E327" s="42"/>
      <c r="F327" s="71">
        <v>7.99</v>
      </c>
      <c r="G327" s="15">
        <v>0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13" hidden="1" x14ac:dyDescent="0.15">
      <c r="A328" s="390"/>
      <c r="B328" s="368"/>
      <c r="C328" s="42" t="s">
        <v>377</v>
      </c>
      <c r="D328" s="42"/>
      <c r="E328" s="42"/>
      <c r="F328" s="71">
        <v>7.99</v>
      </c>
      <c r="G328" s="15">
        <v>0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ht="13" hidden="1" x14ac:dyDescent="0.15">
      <c r="A329" s="390"/>
      <c r="B329" s="368"/>
      <c r="C329" s="42" t="s">
        <v>378</v>
      </c>
      <c r="D329" s="42"/>
      <c r="E329" s="42"/>
      <c r="F329" s="71">
        <v>7.99</v>
      </c>
      <c r="G329" s="15">
        <v>0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13" hidden="1" x14ac:dyDescent="0.15">
      <c r="A330" s="390"/>
      <c r="B330" s="368"/>
      <c r="C330" s="42" t="s">
        <v>379</v>
      </c>
      <c r="D330" s="42"/>
      <c r="E330" s="42"/>
      <c r="F330" s="71">
        <v>7.99</v>
      </c>
      <c r="G330" s="15">
        <v>0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ht="13" hidden="1" x14ac:dyDescent="0.15">
      <c r="A331" s="390"/>
      <c r="B331" s="368"/>
      <c r="C331" s="42" t="s">
        <v>380</v>
      </c>
      <c r="D331" s="42"/>
      <c r="E331" s="42"/>
      <c r="F331" s="71">
        <v>7.49</v>
      </c>
      <c r="G331" s="1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13" hidden="1" x14ac:dyDescent="0.15">
      <c r="A332" s="390"/>
      <c r="B332" s="365" t="s">
        <v>381</v>
      </c>
      <c r="C332" s="42" t="s">
        <v>382</v>
      </c>
      <c r="D332" s="42"/>
      <c r="E332" s="42"/>
      <c r="F332" s="18">
        <v>4.3499999999999996</v>
      </c>
      <c r="G332" s="15">
        <v>0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13" hidden="1" x14ac:dyDescent="0.15">
      <c r="A333" s="390"/>
      <c r="B333" s="368"/>
      <c r="C333" s="42" t="s">
        <v>383</v>
      </c>
      <c r="D333" s="42"/>
      <c r="E333" s="42"/>
      <c r="F333" s="18">
        <v>5.19</v>
      </c>
      <c r="G333" s="15">
        <v>0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13" hidden="1" x14ac:dyDescent="0.15">
      <c r="A334" s="390"/>
      <c r="B334" s="368"/>
      <c r="C334" s="42" t="s">
        <v>384</v>
      </c>
      <c r="D334" s="42"/>
      <c r="E334" s="42"/>
      <c r="F334" s="18">
        <v>7.49</v>
      </c>
      <c r="G334" s="15">
        <v>0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ht="13" hidden="1" x14ac:dyDescent="0.15">
      <c r="A335" s="390"/>
      <c r="B335" s="368"/>
      <c r="C335" s="42" t="s">
        <v>385</v>
      </c>
      <c r="D335" s="42"/>
      <c r="E335" s="42"/>
      <c r="F335" s="18">
        <v>8.49</v>
      </c>
      <c r="G335" s="15">
        <v>0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13" hidden="1" x14ac:dyDescent="0.15">
      <c r="A336" s="390"/>
      <c r="B336" s="368"/>
      <c r="C336" s="42" t="s">
        <v>386</v>
      </c>
      <c r="D336" s="42"/>
      <c r="E336" s="42"/>
      <c r="F336" s="18">
        <v>3.99</v>
      </c>
      <c r="G336" s="15">
        <v>0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ht="13" hidden="1" x14ac:dyDescent="0.15">
      <c r="A337" s="390"/>
      <c r="B337" s="368"/>
      <c r="C337" s="42" t="s">
        <v>387</v>
      </c>
      <c r="D337" s="42"/>
      <c r="E337" s="42"/>
      <c r="F337" s="18">
        <v>3.99</v>
      </c>
      <c r="G337" s="15">
        <v>0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13" hidden="1" x14ac:dyDescent="0.15">
      <c r="A338" s="393" t="s">
        <v>388</v>
      </c>
      <c r="B338" s="399" t="s">
        <v>389</v>
      </c>
      <c r="C338" s="61" t="s">
        <v>390</v>
      </c>
      <c r="D338" s="65"/>
      <c r="E338" s="65"/>
      <c r="F338" s="18">
        <v>2.99</v>
      </c>
      <c r="G338" s="15">
        <v>0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ht="13" hidden="1" x14ac:dyDescent="0.15">
      <c r="A339" s="390"/>
      <c r="B339" s="366"/>
      <c r="C339" s="42" t="s">
        <v>391</v>
      </c>
      <c r="D339" s="42"/>
      <c r="E339" s="42"/>
      <c r="F339" s="18">
        <v>14.99</v>
      </c>
      <c r="G339" s="15">
        <v>0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13" hidden="1" x14ac:dyDescent="0.15">
      <c r="A340" s="390"/>
      <c r="B340" s="365" t="s">
        <v>392</v>
      </c>
      <c r="C340" s="46" t="s">
        <v>129</v>
      </c>
      <c r="D340" s="46"/>
      <c r="E340" s="46"/>
      <c r="F340" s="18">
        <v>1.89</v>
      </c>
      <c r="G340" s="15">
        <v>0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ht="13" hidden="1" x14ac:dyDescent="0.15">
      <c r="A341" s="390"/>
      <c r="B341" s="368"/>
      <c r="C341" s="46" t="s">
        <v>131</v>
      </c>
      <c r="D341" s="46"/>
      <c r="E341" s="46"/>
      <c r="F341" s="18">
        <v>4.99</v>
      </c>
      <c r="G341" s="15">
        <v>0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ht="13" hidden="1" x14ac:dyDescent="0.15">
      <c r="A342" s="390"/>
      <c r="B342" s="366"/>
      <c r="C342" s="46" t="s">
        <v>393</v>
      </c>
      <c r="D342" s="46"/>
      <c r="E342" s="46"/>
      <c r="F342" s="18">
        <v>9.7899999999999991</v>
      </c>
      <c r="G342" s="15">
        <v>0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ht="13" hidden="1" x14ac:dyDescent="0.15">
      <c r="A343" s="390"/>
      <c r="B343" s="365" t="s">
        <v>394</v>
      </c>
      <c r="C343" s="46" t="s">
        <v>129</v>
      </c>
      <c r="D343" s="46"/>
      <c r="E343" s="46"/>
      <c r="F343" s="18">
        <v>4.29</v>
      </c>
      <c r="G343" s="15">
        <v>0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ht="13" hidden="1" x14ac:dyDescent="0.15">
      <c r="A344" s="390"/>
      <c r="B344" s="366"/>
      <c r="C344" s="46" t="s">
        <v>131</v>
      </c>
      <c r="D344" s="46"/>
      <c r="E344" s="46"/>
      <c r="F344" s="18">
        <v>5.99</v>
      </c>
      <c r="G344" s="15">
        <v>0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ht="13" hidden="1" x14ac:dyDescent="0.15">
      <c r="A345" s="390"/>
      <c r="B345" s="365" t="s">
        <v>395</v>
      </c>
      <c r="C345" s="48" t="s">
        <v>395</v>
      </c>
      <c r="D345" s="48"/>
      <c r="E345" s="48"/>
      <c r="F345" s="68"/>
      <c r="G345" s="15">
        <v>0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ht="13" hidden="1" x14ac:dyDescent="0.15">
      <c r="A346" s="390"/>
      <c r="B346" s="368"/>
      <c r="C346" s="42" t="s">
        <v>396</v>
      </c>
      <c r="D346" s="42"/>
      <c r="E346" s="42"/>
      <c r="F346" s="18">
        <v>2.99</v>
      </c>
      <c r="G346" s="15">
        <v>0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ht="13" hidden="1" x14ac:dyDescent="0.15">
      <c r="A347" s="390"/>
      <c r="B347" s="368"/>
      <c r="C347" s="42" t="s">
        <v>397</v>
      </c>
      <c r="D347" s="42"/>
      <c r="E347" s="42"/>
      <c r="F347" s="18">
        <v>3.39</v>
      </c>
      <c r="G347" s="15">
        <v>0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ht="13" hidden="1" x14ac:dyDescent="0.15">
      <c r="A348" s="390"/>
      <c r="B348" s="368"/>
      <c r="C348" s="42" t="s">
        <v>398</v>
      </c>
      <c r="D348" s="42"/>
      <c r="E348" s="42"/>
      <c r="F348" s="18">
        <v>4.8899999999999997</v>
      </c>
      <c r="G348" s="15">
        <v>0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ht="13" hidden="1" x14ac:dyDescent="0.15">
      <c r="A349" s="390"/>
      <c r="B349" s="368"/>
      <c r="C349" s="42" t="s">
        <v>399</v>
      </c>
      <c r="D349" s="42"/>
      <c r="E349" s="42"/>
      <c r="F349" s="18">
        <v>2.29</v>
      </c>
      <c r="G349" s="15">
        <v>0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ht="13" hidden="1" x14ac:dyDescent="0.15">
      <c r="A350" s="390"/>
      <c r="B350" s="368"/>
      <c r="C350" s="48" t="s">
        <v>400</v>
      </c>
      <c r="D350" s="48"/>
      <c r="E350" s="48"/>
      <c r="F350" s="18">
        <v>2.29</v>
      </c>
      <c r="G350" s="15">
        <v>0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ht="14" hidden="1" thickBot="1" x14ac:dyDescent="0.2">
      <c r="A351" s="391"/>
      <c r="B351" s="378"/>
      <c r="C351" s="73" t="s">
        <v>401</v>
      </c>
      <c r="D351" s="64"/>
      <c r="E351" s="64"/>
      <c r="F351" s="68"/>
      <c r="G351" s="15">
        <v>0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ht="13" hidden="1" x14ac:dyDescent="0.15">
      <c r="A352" s="393" t="s">
        <v>402</v>
      </c>
      <c r="B352" s="399" t="s">
        <v>403</v>
      </c>
      <c r="C352" s="61" t="s">
        <v>404</v>
      </c>
      <c r="D352" s="65"/>
      <c r="E352" s="65"/>
      <c r="F352" s="71">
        <v>2.2799999999999998</v>
      </c>
      <c r="G352" s="15">
        <v>0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ht="13" hidden="1" x14ac:dyDescent="0.15">
      <c r="A353" s="390"/>
      <c r="B353" s="368"/>
      <c r="C353" s="42" t="s">
        <v>405</v>
      </c>
      <c r="D353" s="42"/>
      <c r="E353" s="42"/>
      <c r="F353" s="71">
        <v>2.2799999999999998</v>
      </c>
      <c r="G353" s="15">
        <v>0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ht="13" hidden="1" x14ac:dyDescent="0.15">
      <c r="A354" s="390"/>
      <c r="B354" s="368"/>
      <c r="C354" s="42" t="s">
        <v>406</v>
      </c>
      <c r="D354" s="42"/>
      <c r="E354" s="42"/>
      <c r="F354" s="71">
        <v>2.2799999999999998</v>
      </c>
      <c r="G354" s="15">
        <v>0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ht="13" hidden="1" x14ac:dyDescent="0.15">
      <c r="A355" s="390"/>
      <c r="B355" s="368"/>
      <c r="C355" s="42" t="s">
        <v>407</v>
      </c>
      <c r="D355" s="42"/>
      <c r="E355" s="42"/>
      <c r="F355" s="71">
        <v>2.2799999999999998</v>
      </c>
      <c r="G355" s="15">
        <v>0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ht="13" hidden="1" x14ac:dyDescent="0.15">
      <c r="A356" s="390"/>
      <c r="B356" s="368"/>
      <c r="C356" s="42" t="s">
        <v>408</v>
      </c>
      <c r="D356" s="42"/>
      <c r="E356" s="42"/>
      <c r="F356" s="71">
        <v>2.2799999999999998</v>
      </c>
      <c r="G356" s="1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ht="13" hidden="1" x14ac:dyDescent="0.15">
      <c r="A357" s="390"/>
      <c r="B357" s="368"/>
      <c r="C357" s="42" t="s">
        <v>409</v>
      </c>
      <c r="D357" s="42"/>
      <c r="E357" s="42"/>
      <c r="F357" s="71">
        <v>2.2799999999999998</v>
      </c>
      <c r="G357" s="15">
        <v>0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ht="13" hidden="1" x14ac:dyDescent="0.15">
      <c r="A358" s="390"/>
      <c r="B358" s="368"/>
      <c r="C358" s="42" t="s">
        <v>410</v>
      </c>
      <c r="D358" s="42"/>
      <c r="E358" s="42"/>
      <c r="F358" s="71">
        <v>2.2799999999999998</v>
      </c>
      <c r="G358" s="15">
        <v>0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ht="13" hidden="1" x14ac:dyDescent="0.15">
      <c r="A359" s="390"/>
      <c r="B359" s="368"/>
      <c r="C359" s="74" t="s">
        <v>411</v>
      </c>
      <c r="D359" s="42"/>
      <c r="E359" s="42"/>
      <c r="F359" s="71">
        <v>2.2799999999999998</v>
      </c>
      <c r="G359" s="15">
        <v>0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ht="13" hidden="1" x14ac:dyDescent="0.15">
      <c r="A360" s="390"/>
      <c r="B360" s="368"/>
      <c r="C360" s="42" t="s">
        <v>412</v>
      </c>
      <c r="D360" s="42"/>
      <c r="E360" s="42"/>
      <c r="F360" s="71">
        <v>2.2799999999999998</v>
      </c>
      <c r="G360" s="15">
        <v>0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ht="13" hidden="1" x14ac:dyDescent="0.15">
      <c r="A361" s="390"/>
      <c r="B361" s="368"/>
      <c r="C361" s="42" t="s">
        <v>413</v>
      </c>
      <c r="D361" s="42"/>
      <c r="E361" s="42"/>
      <c r="F361" s="71">
        <v>2.2799999999999998</v>
      </c>
      <c r="G361" s="15">
        <v>0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ht="13" hidden="1" x14ac:dyDescent="0.15">
      <c r="A362" s="390"/>
      <c r="B362" s="366"/>
      <c r="C362" s="42" t="s">
        <v>414</v>
      </c>
      <c r="D362" s="42"/>
      <c r="E362" s="42"/>
      <c r="F362" s="71">
        <v>2.2799999999999998</v>
      </c>
      <c r="G362" s="15">
        <v>0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ht="13" hidden="1" x14ac:dyDescent="0.15">
      <c r="A363" s="390"/>
      <c r="B363" s="365" t="s">
        <v>415</v>
      </c>
      <c r="C363" s="42" t="s">
        <v>404</v>
      </c>
      <c r="D363" s="42"/>
      <c r="E363" s="42"/>
      <c r="F363" s="71">
        <v>3.58</v>
      </c>
      <c r="G363" s="15">
        <v>0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ht="13" hidden="1" x14ac:dyDescent="0.15">
      <c r="A364" s="390"/>
      <c r="B364" s="368"/>
      <c r="C364" s="42" t="s">
        <v>405</v>
      </c>
      <c r="D364" s="42"/>
      <c r="E364" s="42"/>
      <c r="F364" s="71">
        <v>3.58</v>
      </c>
      <c r="G364" s="15">
        <v>0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ht="13" hidden="1" x14ac:dyDescent="0.15">
      <c r="A365" s="390"/>
      <c r="B365" s="368"/>
      <c r="C365" s="42" t="s">
        <v>406</v>
      </c>
      <c r="D365" s="42"/>
      <c r="E365" s="42"/>
      <c r="F365" s="71">
        <v>3.58</v>
      </c>
      <c r="G365" s="15">
        <v>0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ht="13" hidden="1" x14ac:dyDescent="0.15">
      <c r="A366" s="390"/>
      <c r="B366" s="368"/>
      <c r="C366" s="42" t="s">
        <v>407</v>
      </c>
      <c r="D366" s="42"/>
      <c r="E366" s="42"/>
      <c r="F366" s="71">
        <v>3.58</v>
      </c>
      <c r="G366" s="15">
        <v>0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ht="13" hidden="1" x14ac:dyDescent="0.15">
      <c r="A367" s="390"/>
      <c r="B367" s="368"/>
      <c r="C367" s="42" t="s">
        <v>408</v>
      </c>
      <c r="D367" s="42"/>
      <c r="E367" s="42"/>
      <c r="F367" s="71">
        <v>3.58</v>
      </c>
      <c r="G367" s="1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ht="13" hidden="1" x14ac:dyDescent="0.15">
      <c r="A368" s="390"/>
      <c r="B368" s="368"/>
      <c r="C368" s="42" t="s">
        <v>409</v>
      </c>
      <c r="D368" s="42"/>
      <c r="E368" s="42"/>
      <c r="F368" s="71">
        <v>3.58</v>
      </c>
      <c r="G368" s="1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ht="13" hidden="1" x14ac:dyDescent="0.15">
      <c r="A369" s="390"/>
      <c r="B369" s="366"/>
      <c r="C369" s="42" t="s">
        <v>416</v>
      </c>
      <c r="D369" s="42"/>
      <c r="E369" s="42"/>
      <c r="F369" s="71"/>
      <c r="G369" s="1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ht="13" hidden="1" x14ac:dyDescent="0.15">
      <c r="A370" s="390"/>
      <c r="B370" s="365" t="s">
        <v>417</v>
      </c>
      <c r="C370" s="42" t="s">
        <v>404</v>
      </c>
      <c r="D370" s="42"/>
      <c r="E370" s="42"/>
      <c r="F370" s="71">
        <v>3.98</v>
      </c>
      <c r="G370" s="15">
        <v>0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ht="13" hidden="1" x14ac:dyDescent="0.15">
      <c r="A371" s="390"/>
      <c r="B371" s="368"/>
      <c r="C371" s="42" t="s">
        <v>405</v>
      </c>
      <c r="D371" s="42"/>
      <c r="E371" s="42"/>
      <c r="F371" s="71">
        <v>3.98</v>
      </c>
      <c r="G371" s="15">
        <v>0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ht="13" hidden="1" x14ac:dyDescent="0.15">
      <c r="A372" s="390"/>
      <c r="B372" s="368"/>
      <c r="C372" s="42" t="s">
        <v>407</v>
      </c>
      <c r="D372" s="42"/>
      <c r="E372" s="42"/>
      <c r="F372" s="71">
        <v>3.98</v>
      </c>
      <c r="G372" s="15">
        <v>0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ht="13" hidden="1" x14ac:dyDescent="0.15">
      <c r="A373" s="390"/>
      <c r="B373" s="368"/>
      <c r="C373" s="42" t="s">
        <v>409</v>
      </c>
      <c r="D373" s="42"/>
      <c r="E373" s="42"/>
      <c r="F373" s="71">
        <v>3.98</v>
      </c>
      <c r="G373" s="15">
        <v>0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ht="13" hidden="1" x14ac:dyDescent="0.15">
      <c r="A374" s="390"/>
      <c r="B374" s="366"/>
      <c r="C374" s="42" t="s">
        <v>418</v>
      </c>
      <c r="D374" s="42"/>
      <c r="E374" s="42"/>
      <c r="F374" s="71">
        <v>3.98</v>
      </c>
      <c r="G374" s="15">
        <v>0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ht="13" hidden="1" x14ac:dyDescent="0.15">
      <c r="A375" s="390"/>
      <c r="B375" s="365" t="s">
        <v>419</v>
      </c>
      <c r="C375" s="46" t="s">
        <v>420</v>
      </c>
      <c r="D375" s="46"/>
      <c r="E375" s="46"/>
      <c r="F375" s="14">
        <v>4.59</v>
      </c>
      <c r="G375" s="15">
        <v>0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ht="13" hidden="1" x14ac:dyDescent="0.15">
      <c r="A376" s="390"/>
      <c r="B376" s="368"/>
      <c r="C376" s="46" t="s">
        <v>131</v>
      </c>
      <c r="D376" s="46"/>
      <c r="E376" s="46"/>
      <c r="F376" s="14">
        <v>5.69</v>
      </c>
      <c r="G376" s="15">
        <v>0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ht="13" hidden="1" x14ac:dyDescent="0.15">
      <c r="A377" s="390"/>
      <c r="B377" s="366"/>
      <c r="C377" s="46" t="s">
        <v>421</v>
      </c>
      <c r="D377" s="46"/>
      <c r="E377" s="46"/>
      <c r="F377" s="14">
        <v>30.99</v>
      </c>
      <c r="G377" s="15">
        <v>0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13" hidden="1" x14ac:dyDescent="0.15">
      <c r="A378" s="390"/>
      <c r="B378" s="365" t="s">
        <v>422</v>
      </c>
      <c r="C378" s="42" t="s">
        <v>12</v>
      </c>
      <c r="D378" s="42"/>
      <c r="E378" s="42"/>
      <c r="F378" s="75">
        <v>3.99</v>
      </c>
      <c r="G378" s="15">
        <v>0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ht="13" hidden="1" x14ac:dyDescent="0.15">
      <c r="A379" s="390"/>
      <c r="B379" s="368"/>
      <c r="C379" s="42" t="s">
        <v>8</v>
      </c>
      <c r="D379" s="42"/>
      <c r="E379" s="42"/>
      <c r="F379" s="75">
        <v>3.99</v>
      </c>
      <c r="G379" s="15">
        <v>0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ht="13" hidden="1" x14ac:dyDescent="0.15">
      <c r="A380" s="390"/>
      <c r="B380" s="368"/>
      <c r="C380" s="42" t="s">
        <v>15</v>
      </c>
      <c r="D380" s="42"/>
      <c r="E380" s="42"/>
      <c r="F380" s="75">
        <v>3.99</v>
      </c>
      <c r="G380" s="15">
        <v>0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ht="13" hidden="1" x14ac:dyDescent="0.15">
      <c r="A381" s="390"/>
      <c r="B381" s="368"/>
      <c r="C381" s="42" t="s">
        <v>263</v>
      </c>
      <c r="D381" s="42"/>
      <c r="E381" s="42"/>
      <c r="F381" s="75">
        <v>3.99</v>
      </c>
      <c r="G381" s="15">
        <v>0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ht="13" hidden="1" x14ac:dyDescent="0.15">
      <c r="A382" s="390"/>
      <c r="B382" s="368"/>
      <c r="C382" s="42" t="s">
        <v>423</v>
      </c>
      <c r="D382" s="42"/>
      <c r="E382" s="42"/>
      <c r="F382" s="75">
        <v>3.99</v>
      </c>
      <c r="G382" s="15">
        <v>0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ht="13" hidden="1" x14ac:dyDescent="0.15">
      <c r="A383" s="390"/>
      <c r="B383" s="368"/>
      <c r="C383" s="42" t="s">
        <v>266</v>
      </c>
      <c r="D383" s="42"/>
      <c r="E383" s="42"/>
      <c r="F383" s="75">
        <v>3.99</v>
      </c>
      <c r="G383" s="15">
        <v>0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ht="13" hidden="1" x14ac:dyDescent="0.15">
      <c r="A384" s="390"/>
      <c r="B384" s="368"/>
      <c r="C384" s="42" t="s">
        <v>424</v>
      </c>
      <c r="D384" s="42"/>
      <c r="E384" s="42"/>
      <c r="F384" s="75">
        <v>3.99</v>
      </c>
      <c r="G384" s="15">
        <v>0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ht="13" hidden="1" x14ac:dyDescent="0.15">
      <c r="A385" s="390"/>
      <c r="B385" s="366"/>
      <c r="C385" s="42" t="s">
        <v>316</v>
      </c>
      <c r="D385" s="42"/>
      <c r="E385" s="42"/>
      <c r="F385" s="75">
        <v>3.99</v>
      </c>
      <c r="G385" s="15">
        <v>0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ht="13" hidden="1" x14ac:dyDescent="0.15">
      <c r="A386" s="390"/>
      <c r="B386" s="365" t="s">
        <v>425</v>
      </c>
      <c r="C386" s="42" t="s">
        <v>12</v>
      </c>
      <c r="D386" s="42"/>
      <c r="E386" s="42"/>
      <c r="F386" s="75">
        <v>4.99</v>
      </c>
      <c r="G386" s="15">
        <v>0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ht="13" hidden="1" x14ac:dyDescent="0.15">
      <c r="A387" s="390"/>
      <c r="B387" s="368"/>
      <c r="C387" s="42" t="s">
        <v>8</v>
      </c>
      <c r="D387" s="42"/>
      <c r="E387" s="42"/>
      <c r="F387" s="75">
        <v>4.99</v>
      </c>
      <c r="G387" s="15">
        <v>0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ht="13" hidden="1" x14ac:dyDescent="0.15">
      <c r="A388" s="390"/>
      <c r="B388" s="368"/>
      <c r="C388" s="42" t="s">
        <v>15</v>
      </c>
      <c r="D388" s="42"/>
      <c r="E388" s="42"/>
      <c r="F388" s="75">
        <v>4.99</v>
      </c>
      <c r="G388" s="15">
        <v>0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ht="13" hidden="1" x14ac:dyDescent="0.15">
      <c r="A389" s="390"/>
      <c r="B389" s="368"/>
      <c r="C389" s="42" t="s">
        <v>263</v>
      </c>
      <c r="D389" s="42"/>
      <c r="E389" s="42"/>
      <c r="F389" s="75">
        <v>4.99</v>
      </c>
      <c r="G389" s="15">
        <v>0</v>
      </c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ht="13" hidden="1" x14ac:dyDescent="0.15">
      <c r="A390" s="390"/>
      <c r="B390" s="368"/>
      <c r="C390" s="42" t="s">
        <v>423</v>
      </c>
      <c r="D390" s="42"/>
      <c r="E390" s="42"/>
      <c r="F390" s="75">
        <v>4.99</v>
      </c>
      <c r="G390" s="15">
        <v>0</v>
      </c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ht="13" hidden="1" x14ac:dyDescent="0.15">
      <c r="A391" s="390"/>
      <c r="B391" s="368"/>
      <c r="C391" s="42" t="s">
        <v>266</v>
      </c>
      <c r="D391" s="42"/>
      <c r="E391" s="42"/>
      <c r="F391" s="75">
        <v>4.99</v>
      </c>
      <c r="G391" s="15">
        <v>0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ht="13" hidden="1" x14ac:dyDescent="0.15">
      <c r="A392" s="390"/>
      <c r="B392" s="368"/>
      <c r="C392" s="42" t="s">
        <v>424</v>
      </c>
      <c r="D392" s="42"/>
      <c r="E392" s="42"/>
      <c r="F392" s="75">
        <v>4.99</v>
      </c>
      <c r="G392" s="15">
        <v>0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ht="13" hidden="1" x14ac:dyDescent="0.15">
      <c r="A393" s="390"/>
      <c r="B393" s="366"/>
      <c r="C393" s="42" t="s">
        <v>316</v>
      </c>
      <c r="D393" s="42"/>
      <c r="E393" s="42"/>
      <c r="F393" s="75">
        <v>4.99</v>
      </c>
      <c r="G393" s="15">
        <v>0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ht="13" hidden="1" x14ac:dyDescent="0.15">
      <c r="A394" s="390"/>
      <c r="B394" s="365" t="s">
        <v>426</v>
      </c>
      <c r="C394" s="46" t="s">
        <v>129</v>
      </c>
      <c r="D394" s="46"/>
      <c r="E394" s="46"/>
      <c r="F394" s="71">
        <v>2.99</v>
      </c>
      <c r="G394" s="15">
        <v>0</v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ht="13" hidden="1" x14ac:dyDescent="0.15">
      <c r="A395" s="390"/>
      <c r="B395" s="366"/>
      <c r="C395" s="46" t="s">
        <v>420</v>
      </c>
      <c r="D395" s="46"/>
      <c r="E395" s="46"/>
      <c r="F395" s="71">
        <v>3.99</v>
      </c>
      <c r="G395" s="15">
        <v>0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ht="13" hidden="1" x14ac:dyDescent="0.15">
      <c r="A396" s="390"/>
      <c r="B396" s="365" t="s">
        <v>427</v>
      </c>
      <c r="C396" s="42" t="s">
        <v>428</v>
      </c>
      <c r="D396" s="42"/>
      <c r="E396" s="42"/>
      <c r="F396" s="71">
        <v>2.99</v>
      </c>
      <c r="G396" s="15">
        <v>0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ht="13" hidden="1" x14ac:dyDescent="0.15">
      <c r="A397" s="390"/>
      <c r="B397" s="368"/>
      <c r="C397" s="42" t="s">
        <v>429</v>
      </c>
      <c r="D397" s="42"/>
      <c r="E397" s="42"/>
      <c r="F397" s="71">
        <v>2.99</v>
      </c>
      <c r="G397" s="15">
        <v>0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ht="13" hidden="1" x14ac:dyDescent="0.15">
      <c r="A398" s="390"/>
      <c r="B398" s="368"/>
      <c r="C398" s="42" t="s">
        <v>430</v>
      </c>
      <c r="D398" s="42"/>
      <c r="E398" s="42"/>
      <c r="F398" s="71">
        <v>2.99</v>
      </c>
      <c r="G398" s="15">
        <v>0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ht="13" hidden="1" x14ac:dyDescent="0.15">
      <c r="A399" s="390"/>
      <c r="B399" s="366"/>
      <c r="C399" s="42" t="s">
        <v>431</v>
      </c>
      <c r="D399" s="42"/>
      <c r="E399" s="42"/>
      <c r="F399" s="71"/>
      <c r="G399" s="1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ht="13" hidden="1" x14ac:dyDescent="0.15">
      <c r="A400" s="390"/>
      <c r="B400" s="365" t="s">
        <v>432</v>
      </c>
      <c r="C400" s="42" t="s">
        <v>430</v>
      </c>
      <c r="D400" s="42"/>
      <c r="E400" s="42"/>
      <c r="F400" s="71">
        <v>3.16</v>
      </c>
      <c r="G400" s="1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ht="13" hidden="1" x14ac:dyDescent="0.15">
      <c r="A401" s="390"/>
      <c r="B401" s="368"/>
      <c r="C401" s="42" t="s">
        <v>433</v>
      </c>
      <c r="D401" s="42"/>
      <c r="E401" s="42"/>
      <c r="F401" s="71">
        <v>3.16</v>
      </c>
      <c r="G401" s="1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ht="13" hidden="1" x14ac:dyDescent="0.15">
      <c r="A402" s="390"/>
      <c r="B402" s="366"/>
      <c r="C402" s="42" t="s">
        <v>434</v>
      </c>
      <c r="D402" s="42"/>
      <c r="E402" s="42"/>
      <c r="F402" s="71">
        <v>3.16</v>
      </c>
      <c r="G402" s="1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ht="13" hidden="1" x14ac:dyDescent="0.15">
      <c r="A403" s="390"/>
      <c r="B403" s="365" t="s">
        <v>435</v>
      </c>
      <c r="C403" s="42" t="s">
        <v>436</v>
      </c>
      <c r="D403" s="42"/>
      <c r="E403" s="42"/>
      <c r="F403" s="71">
        <v>4.08</v>
      </c>
      <c r="G403" s="15">
        <v>0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ht="13" hidden="1" x14ac:dyDescent="0.15">
      <c r="A404" s="390"/>
      <c r="B404" s="368"/>
      <c r="C404" s="42" t="s">
        <v>437</v>
      </c>
      <c r="D404" s="42"/>
      <c r="E404" s="42"/>
      <c r="F404" s="71">
        <v>4.08</v>
      </c>
      <c r="G404" s="15">
        <v>0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ht="13" hidden="1" x14ac:dyDescent="0.15">
      <c r="A405" s="390"/>
      <c r="B405" s="368"/>
      <c r="C405" s="42" t="s">
        <v>438</v>
      </c>
      <c r="D405" s="42"/>
      <c r="E405" s="42"/>
      <c r="F405" s="71">
        <v>4.08</v>
      </c>
      <c r="G405" s="15">
        <v>0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ht="13" hidden="1" x14ac:dyDescent="0.15">
      <c r="A406" s="390"/>
      <c r="B406" s="366"/>
      <c r="C406" s="42" t="s">
        <v>439</v>
      </c>
      <c r="D406" s="42"/>
      <c r="E406" s="42"/>
      <c r="F406" s="71">
        <v>4.08</v>
      </c>
      <c r="G406" s="15">
        <v>0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ht="13" hidden="1" x14ac:dyDescent="0.15">
      <c r="A407" s="390"/>
      <c r="B407" s="365" t="s">
        <v>440</v>
      </c>
      <c r="C407" s="42" t="s">
        <v>441</v>
      </c>
      <c r="D407" s="42"/>
      <c r="E407" s="42"/>
      <c r="F407" s="71">
        <v>4.8099999999999996</v>
      </c>
      <c r="G407" s="15">
        <v>0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ht="13" hidden="1" x14ac:dyDescent="0.15">
      <c r="A408" s="390"/>
      <c r="B408" s="366"/>
      <c r="C408" s="42" t="s">
        <v>442</v>
      </c>
      <c r="D408" s="42"/>
      <c r="E408" s="42"/>
      <c r="F408" s="71">
        <v>4.8099999999999996</v>
      </c>
      <c r="G408" s="15">
        <v>0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ht="13" hidden="1" x14ac:dyDescent="0.15">
      <c r="A409" s="390"/>
      <c r="B409" s="365" t="s">
        <v>443</v>
      </c>
      <c r="C409" s="42" t="s">
        <v>444</v>
      </c>
      <c r="D409" s="42"/>
      <c r="E409" s="42"/>
      <c r="F409" s="14">
        <v>3.39</v>
      </c>
      <c r="G409" s="15">
        <v>0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ht="13" hidden="1" x14ac:dyDescent="0.15">
      <c r="A410" s="390"/>
      <c r="B410" s="366"/>
      <c r="C410" s="42" t="s">
        <v>445</v>
      </c>
      <c r="D410" s="42"/>
      <c r="E410" s="42"/>
      <c r="F410" s="14">
        <v>3.39</v>
      </c>
      <c r="G410" s="15">
        <v>0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ht="13" hidden="1" x14ac:dyDescent="0.15">
      <c r="A411" s="390"/>
      <c r="B411" s="365" t="s">
        <v>446</v>
      </c>
      <c r="C411" s="42" t="s">
        <v>8</v>
      </c>
      <c r="D411" s="42"/>
      <c r="E411" s="42"/>
      <c r="F411" s="71"/>
      <c r="G411" s="1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ht="13" hidden="1" x14ac:dyDescent="0.15">
      <c r="A412" s="390"/>
      <c r="B412" s="368"/>
      <c r="C412" s="42" t="s">
        <v>281</v>
      </c>
      <c r="D412" s="42"/>
      <c r="E412" s="42"/>
      <c r="F412" s="71">
        <v>7.49</v>
      </c>
      <c r="G412" s="15">
        <v>0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ht="13" hidden="1" x14ac:dyDescent="0.15">
      <c r="A413" s="390"/>
      <c r="B413" s="368"/>
      <c r="C413" s="42" t="s">
        <v>447</v>
      </c>
      <c r="D413" s="42"/>
      <c r="E413" s="42"/>
      <c r="F413" s="71">
        <v>7.49</v>
      </c>
      <c r="G413" s="15">
        <v>0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ht="13" hidden="1" x14ac:dyDescent="0.15">
      <c r="A414" s="390"/>
      <c r="B414" s="368"/>
      <c r="C414" s="42" t="s">
        <v>448</v>
      </c>
      <c r="D414" s="42"/>
      <c r="E414" s="42"/>
      <c r="F414" s="71">
        <v>7.49</v>
      </c>
      <c r="G414" s="15">
        <v>0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ht="13" hidden="1" x14ac:dyDescent="0.15">
      <c r="A415" s="390"/>
      <c r="B415" s="368"/>
      <c r="C415" s="42" t="s">
        <v>449</v>
      </c>
      <c r="D415" s="42"/>
      <c r="E415" s="42"/>
      <c r="F415" s="71">
        <v>7.49</v>
      </c>
      <c r="G415" s="15">
        <v>0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ht="13" hidden="1" x14ac:dyDescent="0.15">
      <c r="A416" s="390"/>
      <c r="B416" s="368"/>
      <c r="C416" s="42" t="s">
        <v>263</v>
      </c>
      <c r="D416" s="42"/>
      <c r="E416" s="42"/>
      <c r="F416" s="71">
        <v>7.49</v>
      </c>
      <c r="G416" s="1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ht="13" hidden="1" x14ac:dyDescent="0.15">
      <c r="A417" s="390"/>
      <c r="B417" s="368"/>
      <c r="C417" s="42" t="s">
        <v>450</v>
      </c>
      <c r="D417" s="42"/>
      <c r="E417" s="42"/>
      <c r="F417" s="71">
        <v>7.49</v>
      </c>
      <c r="G417" s="1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ht="13" hidden="1" x14ac:dyDescent="0.15">
      <c r="A418" s="390"/>
      <c r="B418" s="368"/>
      <c r="C418" s="42" t="s">
        <v>12</v>
      </c>
      <c r="D418" s="42"/>
      <c r="E418" s="42"/>
      <c r="F418" s="71">
        <v>7.49</v>
      </c>
      <c r="G418" s="1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ht="13" hidden="1" x14ac:dyDescent="0.15">
      <c r="A419" s="390"/>
      <c r="B419" s="368"/>
      <c r="C419" s="42" t="s">
        <v>451</v>
      </c>
      <c r="D419" s="42"/>
      <c r="E419" s="42"/>
      <c r="F419" s="71">
        <v>7.49</v>
      </c>
      <c r="G419" s="1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ht="13" hidden="1" x14ac:dyDescent="0.15">
      <c r="A420" s="390"/>
      <c r="B420" s="368"/>
      <c r="C420" s="42" t="s">
        <v>318</v>
      </c>
      <c r="D420" s="42"/>
      <c r="E420" s="42"/>
      <c r="F420" s="71">
        <v>7.49</v>
      </c>
      <c r="G420" s="1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ht="13" hidden="1" x14ac:dyDescent="0.15">
      <c r="A421" s="390"/>
      <c r="B421" s="366"/>
      <c r="C421" s="42" t="s">
        <v>15</v>
      </c>
      <c r="D421" s="42"/>
      <c r="E421" s="42"/>
      <c r="F421" s="71">
        <v>7.49</v>
      </c>
      <c r="G421" s="15">
        <v>0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13" hidden="1" x14ac:dyDescent="0.15">
      <c r="A422" s="390"/>
      <c r="B422" s="365" t="s">
        <v>452</v>
      </c>
      <c r="C422" s="42" t="s">
        <v>281</v>
      </c>
      <c r="D422" s="42"/>
      <c r="E422" s="42"/>
      <c r="F422" s="14">
        <v>3.98</v>
      </c>
      <c r="G422" s="15">
        <v>0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ht="13" hidden="1" x14ac:dyDescent="0.15">
      <c r="A423" s="390"/>
      <c r="B423" s="368"/>
      <c r="C423" s="42" t="s">
        <v>263</v>
      </c>
      <c r="D423" s="42"/>
      <c r="E423" s="42"/>
      <c r="F423" s="14">
        <v>3.98</v>
      </c>
      <c r="G423" s="15">
        <v>0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ht="13" hidden="1" x14ac:dyDescent="0.15">
      <c r="A424" s="390"/>
      <c r="B424" s="368"/>
      <c r="C424" s="42" t="s">
        <v>310</v>
      </c>
      <c r="D424" s="42"/>
      <c r="E424" s="42"/>
      <c r="F424" s="14">
        <v>3.98</v>
      </c>
      <c r="G424" s="15">
        <v>0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ht="13" hidden="1" x14ac:dyDescent="0.15">
      <c r="A425" s="390"/>
      <c r="B425" s="366"/>
      <c r="C425" s="42" t="s">
        <v>453</v>
      </c>
      <c r="D425" s="42"/>
      <c r="E425" s="42"/>
      <c r="F425" s="14">
        <v>3.98</v>
      </c>
      <c r="G425" s="15">
        <v>0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13" hidden="1" x14ac:dyDescent="0.15">
      <c r="A426" s="390"/>
      <c r="B426" s="365" t="s">
        <v>454</v>
      </c>
      <c r="C426" s="42" t="s">
        <v>455</v>
      </c>
      <c r="D426" s="42"/>
      <c r="E426" s="42"/>
      <c r="F426" s="71">
        <v>1.69</v>
      </c>
      <c r="G426" s="15">
        <v>0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ht="13" hidden="1" x14ac:dyDescent="0.15">
      <c r="A427" s="390"/>
      <c r="B427" s="368"/>
      <c r="C427" s="76" t="s">
        <v>456</v>
      </c>
      <c r="D427" s="76"/>
      <c r="E427" s="76"/>
      <c r="F427" s="77">
        <v>1.69</v>
      </c>
      <c r="G427" s="37">
        <v>0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ht="13" hidden="1" x14ac:dyDescent="0.15">
      <c r="A428" s="390"/>
      <c r="B428" s="368"/>
      <c r="C428" s="76" t="s">
        <v>457</v>
      </c>
      <c r="D428" s="76"/>
      <c r="E428" s="76"/>
      <c r="F428" s="77">
        <v>2.29</v>
      </c>
      <c r="G428" s="37">
        <v>0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ht="13" hidden="1" x14ac:dyDescent="0.15">
      <c r="A429" s="390"/>
      <c r="B429" s="368"/>
      <c r="C429" s="42" t="s">
        <v>458</v>
      </c>
      <c r="D429" s="42"/>
      <c r="E429" s="42"/>
      <c r="F429" s="71">
        <v>3.99</v>
      </c>
      <c r="G429" s="15">
        <v>0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ht="14" hidden="1" thickBot="1" x14ac:dyDescent="0.2">
      <c r="A430" s="390"/>
      <c r="B430" s="378"/>
      <c r="C430" s="78" t="s">
        <v>459</v>
      </c>
      <c r="D430" s="63"/>
      <c r="E430" s="63"/>
      <c r="F430" s="71">
        <v>3.99</v>
      </c>
      <c r="G430" s="15">
        <v>0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ht="13" hidden="1" x14ac:dyDescent="0.15">
      <c r="A431" s="390"/>
      <c r="B431" s="365" t="s">
        <v>460</v>
      </c>
      <c r="C431" s="63" t="s">
        <v>461</v>
      </c>
      <c r="D431" s="63"/>
      <c r="E431" s="63"/>
      <c r="F431" s="71">
        <v>17.989999999999998</v>
      </c>
      <c r="G431" s="15">
        <v>0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13" hidden="1" x14ac:dyDescent="0.15">
      <c r="A432" s="390"/>
      <c r="B432" s="368"/>
      <c r="C432" s="63" t="s">
        <v>462</v>
      </c>
      <c r="D432" s="63"/>
      <c r="E432" s="63"/>
      <c r="F432" s="71">
        <v>24.99</v>
      </c>
      <c r="G432" s="15">
        <v>0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ht="13" hidden="1" x14ac:dyDescent="0.15">
      <c r="A433" s="390"/>
      <c r="B433" s="368"/>
      <c r="C433" s="63" t="s">
        <v>463</v>
      </c>
      <c r="D433" s="63"/>
      <c r="E433" s="63"/>
      <c r="F433" s="71">
        <v>4.99</v>
      </c>
      <c r="G433" s="15">
        <v>0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ht="15" hidden="1" customHeight="1" x14ac:dyDescent="0.15">
      <c r="A434" s="390"/>
      <c r="B434" s="368"/>
      <c r="C434" s="63" t="s">
        <v>464</v>
      </c>
      <c r="D434" s="63"/>
      <c r="E434" s="63"/>
      <c r="F434" s="71">
        <v>4.99</v>
      </c>
      <c r="G434" s="15">
        <v>0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ht="13" hidden="1" x14ac:dyDescent="0.15">
      <c r="A435" s="390"/>
      <c r="B435" s="366"/>
      <c r="C435" s="63" t="s">
        <v>465</v>
      </c>
      <c r="D435" s="63"/>
      <c r="E435" s="63"/>
      <c r="F435" s="71">
        <v>19.989999999999998</v>
      </c>
      <c r="G435" s="1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ht="13" hidden="1" x14ac:dyDescent="0.15">
      <c r="A436" s="390"/>
      <c r="B436" s="397" t="s">
        <v>466</v>
      </c>
      <c r="C436" s="63"/>
      <c r="D436" s="63"/>
      <c r="E436" s="63"/>
      <c r="F436" s="71"/>
      <c r="G436" s="1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ht="13" hidden="1" x14ac:dyDescent="0.15">
      <c r="A437" s="390"/>
      <c r="B437" s="387"/>
      <c r="C437" s="63"/>
      <c r="D437" s="63"/>
      <c r="E437" s="63"/>
      <c r="F437" s="71"/>
      <c r="G437" s="1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ht="13" hidden="1" x14ac:dyDescent="0.15">
      <c r="A438" s="390"/>
      <c r="B438" s="387"/>
      <c r="C438" s="63"/>
      <c r="D438" s="63"/>
      <c r="E438" s="63"/>
      <c r="F438" s="63"/>
      <c r="G438" s="1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ht="13" hidden="1" x14ac:dyDescent="0.15">
      <c r="A439" s="390"/>
      <c r="B439" s="387"/>
      <c r="C439" s="63"/>
      <c r="D439" s="63"/>
      <c r="E439" s="63"/>
      <c r="F439" s="63"/>
      <c r="G439" s="6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13" hidden="1" x14ac:dyDescent="0.15">
      <c r="A440" s="390"/>
      <c r="B440" s="387"/>
      <c r="C440" s="63"/>
      <c r="D440" s="63"/>
      <c r="E440" s="63"/>
      <c r="F440" s="71"/>
      <c r="G440" s="1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ht="13" hidden="1" x14ac:dyDescent="0.15">
      <c r="A441" s="390"/>
      <c r="B441" s="387"/>
      <c r="C441" s="63"/>
      <c r="D441" s="63"/>
      <c r="E441" s="63"/>
      <c r="F441" s="71"/>
      <c r="G441" s="1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ht="13" hidden="1" x14ac:dyDescent="0.15">
      <c r="A442" s="390"/>
      <c r="B442" s="387"/>
      <c r="C442" s="63"/>
      <c r="D442" s="63"/>
      <c r="E442" s="63"/>
      <c r="F442" s="71"/>
      <c r="G442" s="1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ht="13" hidden="1" x14ac:dyDescent="0.15">
      <c r="A443" s="390"/>
      <c r="B443" s="387"/>
      <c r="C443" s="63"/>
      <c r="D443" s="63"/>
      <c r="E443" s="63"/>
      <c r="F443" s="71"/>
      <c r="G443" s="1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ht="14" hidden="1" thickBot="1" x14ac:dyDescent="0.2">
      <c r="A444" s="391"/>
      <c r="B444" s="388"/>
      <c r="C444" s="63"/>
      <c r="D444" s="63"/>
      <c r="E444" s="63"/>
      <c r="F444" s="71"/>
      <c r="G444" s="1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ht="13" x14ac:dyDescent="0.15">
      <c r="A445" s="394" t="s">
        <v>467</v>
      </c>
      <c r="B445" s="398" t="s">
        <v>467</v>
      </c>
      <c r="C445" s="42" t="s">
        <v>468</v>
      </c>
      <c r="D445" s="42"/>
      <c r="E445" s="42"/>
      <c r="F445" s="71">
        <v>9.99</v>
      </c>
      <c r="G445" s="356">
        <f>F445*1.04</f>
        <v>10.3896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13" hidden="1" x14ac:dyDescent="0.15">
      <c r="A446" s="390"/>
      <c r="B446" s="390"/>
      <c r="C446" s="79" t="s">
        <v>469</v>
      </c>
      <c r="D446" s="79"/>
      <c r="E446" s="79"/>
      <c r="F446" s="71">
        <v>3.48</v>
      </c>
      <c r="G446" s="15">
        <v>0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ht="13" hidden="1" x14ac:dyDescent="0.15">
      <c r="A447" s="390"/>
      <c r="B447" s="390"/>
      <c r="C447" s="79" t="s">
        <v>470</v>
      </c>
      <c r="D447" s="79"/>
      <c r="E447" s="79"/>
      <c r="F447" s="71">
        <v>3.48</v>
      </c>
      <c r="G447" s="15">
        <v>0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ht="13" hidden="1" x14ac:dyDescent="0.15">
      <c r="A448" s="390"/>
      <c r="B448" s="390"/>
      <c r="C448" s="79" t="s">
        <v>471</v>
      </c>
      <c r="D448" s="79"/>
      <c r="E448" s="79"/>
      <c r="F448" s="71">
        <v>6.98</v>
      </c>
      <c r="G448" s="15">
        <v>0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ht="13" hidden="1" x14ac:dyDescent="0.15">
      <c r="A449" s="390"/>
      <c r="B449" s="390"/>
      <c r="C449" s="80" t="s">
        <v>472</v>
      </c>
      <c r="D449" s="80"/>
      <c r="E449" s="80"/>
      <c r="F449" s="71">
        <v>1.8</v>
      </c>
      <c r="G449" s="15">
        <v>0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ht="13" hidden="1" x14ac:dyDescent="0.15">
      <c r="A450" s="390"/>
      <c r="B450" s="390"/>
      <c r="C450" s="80" t="s">
        <v>473</v>
      </c>
      <c r="D450" s="80"/>
      <c r="E450" s="80"/>
      <c r="F450" s="71">
        <v>2.99</v>
      </c>
      <c r="G450" s="1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ht="13" hidden="1" x14ac:dyDescent="0.15">
      <c r="A451" s="81"/>
      <c r="B451" s="81"/>
      <c r="C451" s="80" t="s">
        <v>474</v>
      </c>
      <c r="D451" s="80"/>
      <c r="E451" s="80"/>
      <c r="F451" s="71">
        <v>0.35</v>
      </c>
      <c r="G451" s="1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13" x14ac:dyDescent="0.15">
      <c r="A452" s="42" t="s">
        <v>475</v>
      </c>
      <c r="B452" s="79" t="s">
        <v>476</v>
      </c>
      <c r="C452" s="82" t="s">
        <v>477</v>
      </c>
      <c r="D452" s="82"/>
      <c r="E452" s="82"/>
      <c r="F452" s="83">
        <v>42.99</v>
      </c>
      <c r="G452" s="356">
        <f t="shared" ref="G452:G476" si="3">F452*1.04</f>
        <v>44.709600000000002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ht="13" x14ac:dyDescent="0.15">
      <c r="A453" s="65" t="s">
        <v>478</v>
      </c>
      <c r="B453" s="51" t="s">
        <v>476</v>
      </c>
      <c r="C453" s="84" t="s">
        <v>479</v>
      </c>
      <c r="D453" s="84"/>
      <c r="E453" s="84"/>
      <c r="F453" s="83">
        <v>56.99</v>
      </c>
      <c r="G453" s="356">
        <f t="shared" si="3"/>
        <v>59.269600000000004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13" x14ac:dyDescent="0.15">
      <c r="A454" s="65" t="s">
        <v>480</v>
      </c>
      <c r="B454" s="51" t="s">
        <v>476</v>
      </c>
      <c r="C454" s="84" t="s">
        <v>481</v>
      </c>
      <c r="D454" s="84"/>
      <c r="E454" s="84"/>
      <c r="F454" s="83">
        <v>69.989999999999995</v>
      </c>
      <c r="G454" s="356">
        <f t="shared" si="3"/>
        <v>72.789599999999993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ht="13" x14ac:dyDescent="0.15">
      <c r="A455" s="65" t="s">
        <v>482</v>
      </c>
      <c r="B455" s="51" t="s">
        <v>476</v>
      </c>
      <c r="C455" s="84" t="s">
        <v>483</v>
      </c>
      <c r="D455" s="84"/>
      <c r="E455" s="84"/>
      <c r="F455" s="83">
        <v>149.99</v>
      </c>
      <c r="G455" s="356">
        <f t="shared" si="3"/>
        <v>155.98960000000002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ht="13" x14ac:dyDescent="0.15">
      <c r="A456" s="65" t="s">
        <v>484</v>
      </c>
      <c r="B456" s="51" t="s">
        <v>476</v>
      </c>
      <c r="C456" s="84" t="s">
        <v>485</v>
      </c>
      <c r="D456" s="84"/>
      <c r="E456" s="84"/>
      <c r="F456" s="83">
        <v>229.99</v>
      </c>
      <c r="G456" s="356">
        <f t="shared" si="3"/>
        <v>239.18960000000001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ht="13" x14ac:dyDescent="0.15">
      <c r="A457" s="65" t="s">
        <v>486</v>
      </c>
      <c r="B457" s="51" t="s">
        <v>476</v>
      </c>
      <c r="C457" s="84" t="s">
        <v>487</v>
      </c>
      <c r="D457" s="84"/>
      <c r="E457" s="84"/>
      <c r="F457" s="83">
        <v>209.99</v>
      </c>
      <c r="G457" s="356">
        <f t="shared" si="3"/>
        <v>218.38960000000003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ht="13" x14ac:dyDescent="0.15">
      <c r="A458" s="65" t="s">
        <v>488</v>
      </c>
      <c r="B458" s="51" t="s">
        <v>476</v>
      </c>
      <c r="C458" s="84" t="s">
        <v>489</v>
      </c>
      <c r="D458" s="84"/>
      <c r="E458" s="84"/>
      <c r="F458" s="83">
        <v>299.99</v>
      </c>
      <c r="G458" s="356">
        <f t="shared" si="3"/>
        <v>311.9896</v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ht="13" x14ac:dyDescent="0.15">
      <c r="A459" s="65" t="s">
        <v>490</v>
      </c>
      <c r="B459" s="51" t="s">
        <v>476</v>
      </c>
      <c r="C459" s="84" t="s">
        <v>491</v>
      </c>
      <c r="D459" s="84"/>
      <c r="E459" s="84"/>
      <c r="F459" s="83">
        <v>399.99</v>
      </c>
      <c r="G459" s="356">
        <f t="shared" si="3"/>
        <v>415.9896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13" x14ac:dyDescent="0.15">
      <c r="A460" s="65" t="s">
        <v>492</v>
      </c>
      <c r="B460" s="51" t="s">
        <v>493</v>
      </c>
      <c r="C460" s="84" t="s">
        <v>494</v>
      </c>
      <c r="D460" s="84"/>
      <c r="E460" s="84"/>
      <c r="F460" s="83">
        <v>47.99</v>
      </c>
      <c r="G460" s="356">
        <f t="shared" si="3"/>
        <v>49.909600000000005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ht="13" x14ac:dyDescent="0.15">
      <c r="A461" s="65" t="s">
        <v>495</v>
      </c>
      <c r="B461" s="51" t="s">
        <v>493</v>
      </c>
      <c r="C461" s="84" t="s">
        <v>496</v>
      </c>
      <c r="D461" s="84"/>
      <c r="E461" s="84"/>
      <c r="F461" s="83">
        <v>89.99</v>
      </c>
      <c r="G461" s="356">
        <f t="shared" si="3"/>
        <v>93.589600000000004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ht="13" x14ac:dyDescent="0.15">
      <c r="A462" s="65" t="s">
        <v>497</v>
      </c>
      <c r="B462" s="51" t="s">
        <v>493</v>
      </c>
      <c r="C462" s="84" t="s">
        <v>498</v>
      </c>
      <c r="D462" s="84"/>
      <c r="E462" s="84"/>
      <c r="F462" s="83">
        <v>144.99</v>
      </c>
      <c r="G462" s="356">
        <f t="shared" si="3"/>
        <v>150.78960000000001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ht="13" x14ac:dyDescent="0.15">
      <c r="A463" s="65" t="s">
        <v>499</v>
      </c>
      <c r="B463" s="51" t="s">
        <v>493</v>
      </c>
      <c r="C463" s="84" t="s">
        <v>500</v>
      </c>
      <c r="D463" s="84"/>
      <c r="E463" s="84"/>
      <c r="F463" s="83">
        <v>144.99</v>
      </c>
      <c r="G463" s="356">
        <f t="shared" si="3"/>
        <v>150.78960000000001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ht="13" x14ac:dyDescent="0.15">
      <c r="A464" s="386" t="s">
        <v>501</v>
      </c>
      <c r="B464" s="367" t="s">
        <v>502</v>
      </c>
      <c r="C464" s="84" t="s">
        <v>503</v>
      </c>
      <c r="D464" s="84"/>
      <c r="E464" s="84"/>
      <c r="F464" s="83">
        <v>13.99</v>
      </c>
      <c r="G464" s="356">
        <f t="shared" si="3"/>
        <v>14.5496</v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ht="13" x14ac:dyDescent="0.15">
      <c r="A465" s="387"/>
      <c r="B465" s="368"/>
      <c r="C465" s="84" t="s">
        <v>504</v>
      </c>
      <c r="D465" s="84"/>
      <c r="E465" s="84"/>
      <c r="F465" s="83">
        <v>12.99</v>
      </c>
      <c r="G465" s="356">
        <f t="shared" si="3"/>
        <v>13.509600000000001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ht="13" x14ac:dyDescent="0.15">
      <c r="A466" s="387"/>
      <c r="B466" s="368"/>
      <c r="C466" s="84" t="s">
        <v>505</v>
      </c>
      <c r="D466" s="84"/>
      <c r="E466" s="84"/>
      <c r="F466" s="83">
        <v>12.99</v>
      </c>
      <c r="G466" s="356">
        <f t="shared" si="3"/>
        <v>13.509600000000001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ht="13" x14ac:dyDescent="0.15">
      <c r="A467" s="387"/>
      <c r="B467" s="368"/>
      <c r="C467" s="84" t="s">
        <v>506</v>
      </c>
      <c r="D467" s="84"/>
      <c r="E467" s="84"/>
      <c r="F467" s="83">
        <v>13.99</v>
      </c>
      <c r="G467" s="356">
        <f t="shared" si="3"/>
        <v>14.5496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ht="13" x14ac:dyDescent="0.15">
      <c r="A468" s="387"/>
      <c r="B468" s="368"/>
      <c r="C468" s="85" t="s">
        <v>507</v>
      </c>
      <c r="D468" s="85"/>
      <c r="E468" s="85"/>
      <c r="F468" s="18">
        <v>13.99</v>
      </c>
      <c r="G468" s="356">
        <f t="shared" si="3"/>
        <v>14.5496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ht="13" x14ac:dyDescent="0.15">
      <c r="A469" s="387"/>
      <c r="B469" s="368"/>
      <c r="C469" s="85" t="s">
        <v>17</v>
      </c>
      <c r="D469" s="85"/>
      <c r="E469" s="85"/>
      <c r="F469" s="18">
        <v>13.99</v>
      </c>
      <c r="G469" s="356">
        <f t="shared" si="3"/>
        <v>14.5496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ht="13" x14ac:dyDescent="0.15">
      <c r="A470" s="387"/>
      <c r="B470" s="368"/>
      <c r="C470" s="85" t="s">
        <v>10</v>
      </c>
      <c r="D470" s="85"/>
      <c r="E470" s="85"/>
      <c r="F470" s="18">
        <v>13.99</v>
      </c>
      <c r="G470" s="356">
        <f t="shared" si="3"/>
        <v>14.5496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ht="13" x14ac:dyDescent="0.15">
      <c r="A471" s="387"/>
      <c r="B471" s="368"/>
      <c r="C471" s="84" t="s">
        <v>508</v>
      </c>
      <c r="D471" s="84"/>
      <c r="E471" s="84"/>
      <c r="F471" s="83">
        <v>12.99</v>
      </c>
      <c r="G471" s="356">
        <f t="shared" si="3"/>
        <v>13.509600000000001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ht="13" x14ac:dyDescent="0.15">
      <c r="A472" s="387"/>
      <c r="B472" s="368"/>
      <c r="C472" s="84" t="s">
        <v>12</v>
      </c>
      <c r="D472" s="84"/>
      <c r="E472" s="84"/>
      <c r="F472" s="83">
        <v>12.99</v>
      </c>
      <c r="G472" s="356">
        <f t="shared" si="3"/>
        <v>13.509600000000001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ht="13" x14ac:dyDescent="0.15">
      <c r="A473" s="387"/>
      <c r="B473" s="368"/>
      <c r="C473" s="84" t="s">
        <v>509</v>
      </c>
      <c r="D473" s="84"/>
      <c r="E473" s="84"/>
      <c r="F473" s="83">
        <v>12.99</v>
      </c>
      <c r="G473" s="356">
        <f t="shared" si="3"/>
        <v>13.509600000000001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ht="13" x14ac:dyDescent="0.15">
      <c r="A474" s="387"/>
      <c r="B474" s="368"/>
      <c r="C474" s="84" t="s">
        <v>510</v>
      </c>
      <c r="D474" s="84"/>
      <c r="E474" s="84"/>
      <c r="F474" s="83">
        <v>13.99</v>
      </c>
      <c r="G474" s="356">
        <f t="shared" si="3"/>
        <v>14.5496</v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ht="13" x14ac:dyDescent="0.15">
      <c r="A475" s="387"/>
      <c r="B475" s="368"/>
      <c r="C475" s="84" t="s">
        <v>511</v>
      </c>
      <c r="D475" s="84"/>
      <c r="E475" s="84"/>
      <c r="F475" s="83">
        <v>12.99</v>
      </c>
      <c r="G475" s="356">
        <f t="shared" si="3"/>
        <v>13.509600000000001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ht="13" x14ac:dyDescent="0.15">
      <c r="A476" s="387"/>
      <c r="B476" s="368"/>
      <c r="C476" s="84" t="s">
        <v>512</v>
      </c>
      <c r="D476" s="84"/>
      <c r="E476" s="84"/>
      <c r="F476" s="83">
        <v>13.99</v>
      </c>
      <c r="G476" s="356">
        <f t="shared" si="3"/>
        <v>14.5496</v>
      </c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ht="13" hidden="1" x14ac:dyDescent="0.15">
      <c r="A477" s="387"/>
      <c r="B477" s="368"/>
      <c r="C477" s="84" t="s">
        <v>513</v>
      </c>
      <c r="D477" s="84"/>
      <c r="E477" s="84"/>
      <c r="F477" s="83">
        <v>13.99</v>
      </c>
      <c r="G477" s="1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ht="13" x14ac:dyDescent="0.15">
      <c r="A478" s="387"/>
      <c r="B478" s="368"/>
      <c r="C478" s="84" t="s">
        <v>514</v>
      </c>
      <c r="D478" s="84"/>
      <c r="E478" s="84"/>
      <c r="F478" s="83">
        <v>19.989999999999998</v>
      </c>
      <c r="G478" s="356">
        <f>F478*1.04</f>
        <v>20.7896</v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ht="13" x14ac:dyDescent="0.15">
      <c r="A479" s="387"/>
      <c r="B479" s="368"/>
      <c r="C479" s="84" t="s">
        <v>515</v>
      </c>
      <c r="D479" s="84"/>
      <c r="E479" s="84"/>
      <c r="F479" s="83">
        <v>18.989999999999998</v>
      </c>
      <c r="G479" s="356">
        <f>F479*1.04</f>
        <v>19.749599999999997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ht="13" x14ac:dyDescent="0.15">
      <c r="A480" s="387"/>
      <c r="B480" s="368"/>
      <c r="C480" s="367" t="s">
        <v>516</v>
      </c>
      <c r="D480" s="84" t="s">
        <v>517</v>
      </c>
      <c r="E480" s="84"/>
      <c r="F480" s="83">
        <v>22.99</v>
      </c>
      <c r="G480" s="356">
        <f>F480*1.04</f>
        <v>23.909599999999998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ht="13" x14ac:dyDescent="0.15">
      <c r="A481" s="387"/>
      <c r="B481" s="368"/>
      <c r="C481" s="368"/>
      <c r="D481" s="84" t="s">
        <v>238</v>
      </c>
      <c r="E481" s="84"/>
      <c r="F481" s="83">
        <v>22.99</v>
      </c>
      <c r="G481" s="356">
        <f>F481*1.04</f>
        <v>23.909599999999998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ht="13" hidden="1" x14ac:dyDescent="0.15">
      <c r="A482" s="387"/>
      <c r="B482" s="366"/>
      <c r="C482" s="366"/>
      <c r="D482" s="84" t="s">
        <v>518</v>
      </c>
      <c r="E482" s="84"/>
      <c r="F482" s="83">
        <v>22.99</v>
      </c>
      <c r="G482" s="1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ht="13" x14ac:dyDescent="0.15">
      <c r="A483" s="387"/>
      <c r="B483" s="367" t="s">
        <v>519</v>
      </c>
      <c r="C483" s="367" t="s">
        <v>79</v>
      </c>
      <c r="D483" s="84" t="s">
        <v>520</v>
      </c>
      <c r="E483" s="84"/>
      <c r="F483" s="83">
        <v>11.99</v>
      </c>
      <c r="G483" s="356">
        <f>F483*1.04</f>
        <v>12.4696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ht="13" hidden="1" x14ac:dyDescent="0.15">
      <c r="A484" s="387"/>
      <c r="B484" s="366"/>
      <c r="C484" s="366"/>
      <c r="D484" s="84" t="s">
        <v>521</v>
      </c>
      <c r="E484" s="84"/>
      <c r="F484" s="83">
        <v>11.99</v>
      </c>
      <c r="G484" s="1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ht="13" x14ac:dyDescent="0.15">
      <c r="A485" s="387"/>
      <c r="B485" s="367" t="s">
        <v>519</v>
      </c>
      <c r="C485" s="367" t="s">
        <v>522</v>
      </c>
      <c r="D485" s="84" t="s">
        <v>520</v>
      </c>
      <c r="E485" s="84"/>
      <c r="F485" s="83">
        <v>16.989999999999998</v>
      </c>
      <c r="G485" s="356">
        <f>F485*1.04</f>
        <v>17.669599999999999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ht="13" hidden="1" x14ac:dyDescent="0.15">
      <c r="A486" s="387"/>
      <c r="B486" s="368"/>
      <c r="C486" s="368"/>
      <c r="D486" s="84" t="s">
        <v>521</v>
      </c>
      <c r="E486" s="84"/>
      <c r="F486" s="83">
        <v>16.989999999999998</v>
      </c>
      <c r="G486" s="1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ht="13" hidden="1" x14ac:dyDescent="0.15">
      <c r="A487" s="387"/>
      <c r="B487" s="368"/>
      <c r="C487" s="368"/>
      <c r="D487" s="84" t="s">
        <v>45</v>
      </c>
      <c r="E487" s="84"/>
      <c r="F487" s="83">
        <v>16.989999999999998</v>
      </c>
      <c r="G487" s="1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ht="13" hidden="1" x14ac:dyDescent="0.15">
      <c r="A488" s="387"/>
      <c r="B488" s="366"/>
      <c r="C488" s="366"/>
      <c r="D488" s="84" t="s">
        <v>523</v>
      </c>
      <c r="E488" s="84"/>
      <c r="F488" s="83">
        <v>16.989999999999998</v>
      </c>
      <c r="G488" s="1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ht="13" x14ac:dyDescent="0.15">
      <c r="A489" s="387"/>
      <c r="B489" s="84" t="s">
        <v>27</v>
      </c>
      <c r="C489" s="84" t="s">
        <v>18</v>
      </c>
      <c r="D489" s="84"/>
      <c r="E489" s="84"/>
      <c r="F489" s="83">
        <v>19.989999999999998</v>
      </c>
      <c r="G489" s="356">
        <f t="shared" ref="G489:G503" si="4">F489*1.04</f>
        <v>20.7896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ht="13" x14ac:dyDescent="0.15">
      <c r="A490" s="387"/>
      <c r="B490" s="84" t="s">
        <v>27</v>
      </c>
      <c r="C490" s="84" t="s">
        <v>57</v>
      </c>
      <c r="D490" s="84"/>
      <c r="E490" s="84"/>
      <c r="F490" s="83">
        <v>19.989999999999998</v>
      </c>
      <c r="G490" s="356">
        <f t="shared" si="4"/>
        <v>20.7896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ht="13" x14ac:dyDescent="0.15">
      <c r="A491" s="387"/>
      <c r="B491" s="84" t="s">
        <v>27</v>
      </c>
      <c r="C491" s="84" t="s">
        <v>8</v>
      </c>
      <c r="D491" s="84"/>
      <c r="E491" s="84"/>
      <c r="F491" s="83">
        <v>19.989999999999998</v>
      </c>
      <c r="G491" s="356">
        <f t="shared" si="4"/>
        <v>20.7896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ht="13" x14ac:dyDescent="0.15">
      <c r="A492" s="387"/>
      <c r="B492" s="84" t="s">
        <v>524</v>
      </c>
      <c r="C492" s="84" t="s">
        <v>18</v>
      </c>
      <c r="D492" s="84"/>
      <c r="E492" s="84"/>
      <c r="F492" s="83">
        <v>19.989999999999998</v>
      </c>
      <c r="G492" s="356">
        <f t="shared" si="4"/>
        <v>20.7896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ht="13" x14ac:dyDescent="0.15">
      <c r="A493" s="387"/>
      <c r="B493" s="84" t="s">
        <v>524</v>
      </c>
      <c r="C493" s="84" t="s">
        <v>37</v>
      </c>
      <c r="D493" s="84"/>
      <c r="E493" s="84"/>
      <c r="F493" s="83">
        <v>19.989999999999998</v>
      </c>
      <c r="G493" s="356">
        <f t="shared" si="4"/>
        <v>20.7896</v>
      </c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ht="13" x14ac:dyDescent="0.15">
      <c r="A494" s="387"/>
      <c r="B494" s="84" t="s">
        <v>27</v>
      </c>
      <c r="C494" s="84" t="s">
        <v>16</v>
      </c>
      <c r="D494" s="84"/>
      <c r="E494" s="84"/>
      <c r="F494" s="83">
        <v>19.989999999999998</v>
      </c>
      <c r="G494" s="356">
        <f t="shared" si="4"/>
        <v>20.7896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ht="13" x14ac:dyDescent="0.15">
      <c r="A495" s="387"/>
      <c r="B495" s="84" t="s">
        <v>525</v>
      </c>
      <c r="C495" s="84" t="s">
        <v>17</v>
      </c>
      <c r="D495" s="84"/>
      <c r="E495" s="84"/>
      <c r="F495" s="83">
        <v>22.99</v>
      </c>
      <c r="G495" s="356">
        <f t="shared" si="4"/>
        <v>23.909599999999998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ht="13" x14ac:dyDescent="0.15">
      <c r="A496" s="387"/>
      <c r="B496" s="84" t="s">
        <v>525</v>
      </c>
      <c r="C496" s="84" t="s">
        <v>521</v>
      </c>
      <c r="D496" s="84"/>
      <c r="E496" s="84"/>
      <c r="F496" s="83">
        <v>22.99</v>
      </c>
      <c r="G496" s="356">
        <f t="shared" si="4"/>
        <v>23.909599999999998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ht="13" x14ac:dyDescent="0.15">
      <c r="A497" s="387"/>
      <c r="B497" s="84" t="s">
        <v>526</v>
      </c>
      <c r="C497" s="84" t="s">
        <v>527</v>
      </c>
      <c r="D497" s="84"/>
      <c r="E497" s="84"/>
      <c r="F497" s="83">
        <v>18.989999999999998</v>
      </c>
      <c r="G497" s="356">
        <f t="shared" si="4"/>
        <v>19.749599999999997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ht="13" x14ac:dyDescent="0.15">
      <c r="A498" s="387"/>
      <c r="B498" s="84" t="s">
        <v>528</v>
      </c>
      <c r="C498" s="84" t="s">
        <v>529</v>
      </c>
      <c r="D498" s="84"/>
      <c r="E498" s="84"/>
      <c r="F498" s="83">
        <v>13.99</v>
      </c>
      <c r="G498" s="356">
        <f t="shared" si="4"/>
        <v>14.5496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ht="13" x14ac:dyDescent="0.15">
      <c r="A499" s="387"/>
      <c r="B499" s="84" t="s">
        <v>528</v>
      </c>
      <c r="C499" s="84" t="s">
        <v>530</v>
      </c>
      <c r="D499" s="84"/>
      <c r="E499" s="84"/>
      <c r="F499" s="83">
        <v>24.99</v>
      </c>
      <c r="G499" s="356">
        <f t="shared" si="4"/>
        <v>25.989599999999999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ht="13" x14ac:dyDescent="0.15">
      <c r="A500" s="387"/>
      <c r="B500" s="84" t="s">
        <v>531</v>
      </c>
      <c r="C500" s="84" t="s">
        <v>36</v>
      </c>
      <c r="D500" s="84"/>
      <c r="E500" s="84"/>
      <c r="F500" s="83">
        <v>21.99</v>
      </c>
      <c r="G500" s="356">
        <f t="shared" si="4"/>
        <v>22.869599999999998</v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ht="13" x14ac:dyDescent="0.15">
      <c r="A501" s="387"/>
      <c r="B501" s="84" t="s">
        <v>531</v>
      </c>
      <c r="C501" s="84" t="s">
        <v>10</v>
      </c>
      <c r="D501" s="84"/>
      <c r="E501" s="84"/>
      <c r="F501" s="83">
        <v>21.99</v>
      </c>
      <c r="G501" s="356">
        <f t="shared" si="4"/>
        <v>22.869599999999998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ht="13" x14ac:dyDescent="0.15">
      <c r="A502" s="387"/>
      <c r="B502" s="84" t="s">
        <v>532</v>
      </c>
      <c r="C502" s="84" t="s">
        <v>194</v>
      </c>
      <c r="D502" s="84"/>
      <c r="E502" s="84"/>
      <c r="F502" s="83">
        <v>34.99</v>
      </c>
      <c r="G502" s="356">
        <f t="shared" si="4"/>
        <v>36.389600000000002</v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ht="13" x14ac:dyDescent="0.15">
      <c r="A503" s="387"/>
      <c r="B503" s="84" t="s">
        <v>532</v>
      </c>
      <c r="C503" s="84" t="s">
        <v>159</v>
      </c>
      <c r="D503" s="84"/>
      <c r="E503" s="84"/>
      <c r="F503" s="83">
        <v>34.99</v>
      </c>
      <c r="G503" s="356">
        <f t="shared" si="4"/>
        <v>36.389600000000002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ht="13" hidden="1" x14ac:dyDescent="0.15">
      <c r="A504" s="387"/>
      <c r="B504" s="84" t="s">
        <v>532</v>
      </c>
      <c r="C504" s="84" t="s">
        <v>533</v>
      </c>
      <c r="D504" s="84"/>
      <c r="E504" s="84"/>
      <c r="F504" s="83">
        <v>34.99</v>
      </c>
      <c r="G504" s="1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ht="13" x14ac:dyDescent="0.15">
      <c r="A505" s="387"/>
      <c r="B505" s="84" t="s">
        <v>532</v>
      </c>
      <c r="C505" s="84" t="s">
        <v>534</v>
      </c>
      <c r="D505" s="84"/>
      <c r="E505" s="84"/>
      <c r="F505" s="83">
        <v>14.99</v>
      </c>
      <c r="G505" s="356">
        <f>F505*1.04</f>
        <v>15.589600000000001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ht="13" x14ac:dyDescent="0.15">
      <c r="A506" s="387"/>
      <c r="B506" s="84" t="s">
        <v>532</v>
      </c>
      <c r="C506" s="84" t="s">
        <v>535</v>
      </c>
      <c r="D506" s="84"/>
      <c r="E506" s="84"/>
      <c r="F506" s="83">
        <v>12.69</v>
      </c>
      <c r="G506" s="356">
        <f>F506*1.04</f>
        <v>13.1976</v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ht="13" x14ac:dyDescent="0.15">
      <c r="A507" s="387"/>
      <c r="B507" s="84" t="s">
        <v>532</v>
      </c>
      <c r="C507" s="84" t="s">
        <v>536</v>
      </c>
      <c r="D507" s="84"/>
      <c r="E507" s="84"/>
      <c r="F507" s="83">
        <v>18.989999999999998</v>
      </c>
      <c r="G507" s="356">
        <f>F507*1.04</f>
        <v>19.749599999999997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ht="13" x14ac:dyDescent="0.15">
      <c r="A508" s="387"/>
      <c r="B508" s="84" t="s">
        <v>532</v>
      </c>
      <c r="C508" s="84" t="s">
        <v>537</v>
      </c>
      <c r="D508" s="84"/>
      <c r="E508" s="84"/>
      <c r="F508" s="83">
        <v>16.989999999999998</v>
      </c>
      <c r="G508" s="356">
        <f>F508*1.04</f>
        <v>17.669599999999999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ht="13" x14ac:dyDescent="0.15">
      <c r="A509" s="387"/>
      <c r="B509" s="84" t="s">
        <v>532</v>
      </c>
      <c r="C509" s="84" t="s">
        <v>538</v>
      </c>
      <c r="D509" s="84"/>
      <c r="E509" s="84"/>
      <c r="F509" s="83">
        <v>34.99</v>
      </c>
      <c r="G509" s="356">
        <f>F509*1.04</f>
        <v>36.389600000000002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13" hidden="1" x14ac:dyDescent="0.15">
      <c r="A510" s="387"/>
      <c r="B510" s="84" t="s">
        <v>532</v>
      </c>
      <c r="C510" s="84" t="s">
        <v>539</v>
      </c>
      <c r="D510" s="84"/>
      <c r="E510" s="84"/>
      <c r="F510" s="83">
        <v>34.99</v>
      </c>
      <c r="G510" s="1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ht="13" x14ac:dyDescent="0.15">
      <c r="A511" s="387"/>
      <c r="B511" s="84" t="s">
        <v>532</v>
      </c>
      <c r="C511" s="84" t="s">
        <v>180</v>
      </c>
      <c r="D511" s="84"/>
      <c r="E511" s="84"/>
      <c r="F511" s="83">
        <v>19.989999999999998</v>
      </c>
      <c r="G511" s="356">
        <f t="shared" ref="G511:G542" si="5">F511*1.04</f>
        <v>20.7896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ht="13" x14ac:dyDescent="0.15">
      <c r="A512" s="387"/>
      <c r="B512" s="84" t="s">
        <v>532</v>
      </c>
      <c r="C512" s="84" t="s">
        <v>540</v>
      </c>
      <c r="D512" s="84"/>
      <c r="E512" s="84"/>
      <c r="F512" s="83">
        <v>19.989999999999998</v>
      </c>
      <c r="G512" s="356">
        <f t="shared" si="5"/>
        <v>20.7896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ht="13" x14ac:dyDescent="0.15">
      <c r="A513" s="387"/>
      <c r="B513" s="84" t="s">
        <v>532</v>
      </c>
      <c r="C513" s="84" t="s">
        <v>541</v>
      </c>
      <c r="D513" s="84"/>
      <c r="E513" s="84"/>
      <c r="F513" s="83">
        <v>34.99</v>
      </c>
      <c r="G513" s="356">
        <f t="shared" si="5"/>
        <v>36.389600000000002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ht="13" x14ac:dyDescent="0.15">
      <c r="A514" s="387"/>
      <c r="B514" s="84" t="s">
        <v>532</v>
      </c>
      <c r="C514" s="84" t="s">
        <v>542</v>
      </c>
      <c r="D514" s="84"/>
      <c r="E514" s="84"/>
      <c r="F514" s="83">
        <v>29.99</v>
      </c>
      <c r="G514" s="356">
        <f t="shared" si="5"/>
        <v>31.189599999999999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ht="13" x14ac:dyDescent="0.15">
      <c r="A515" s="387"/>
      <c r="B515" s="84" t="s">
        <v>532</v>
      </c>
      <c r="C515" s="84" t="s">
        <v>543</v>
      </c>
      <c r="D515" s="84"/>
      <c r="E515" s="84"/>
      <c r="F515" s="83">
        <v>29.99</v>
      </c>
      <c r="G515" s="356">
        <f t="shared" si="5"/>
        <v>31.189599999999999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ht="13" x14ac:dyDescent="0.15">
      <c r="A516" s="387"/>
      <c r="B516" s="84" t="s">
        <v>532</v>
      </c>
      <c r="C516" s="84" t="s">
        <v>544</v>
      </c>
      <c r="D516" s="84"/>
      <c r="E516" s="84"/>
      <c r="F516" s="83">
        <v>34.99</v>
      </c>
      <c r="G516" s="356">
        <f t="shared" si="5"/>
        <v>36.389600000000002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ht="13" x14ac:dyDescent="0.15">
      <c r="A517" s="387"/>
      <c r="B517" s="84" t="s">
        <v>545</v>
      </c>
      <c r="C517" s="84" t="s">
        <v>58</v>
      </c>
      <c r="D517" s="84"/>
      <c r="E517" s="84"/>
      <c r="F517" s="83">
        <v>27.99</v>
      </c>
      <c r="G517" s="356">
        <f t="shared" si="5"/>
        <v>29.1096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ht="13" x14ac:dyDescent="0.15">
      <c r="A518" s="387"/>
      <c r="B518" s="84" t="s">
        <v>546</v>
      </c>
      <c r="C518" s="84" t="s">
        <v>547</v>
      </c>
      <c r="D518" s="84"/>
      <c r="E518" s="84"/>
      <c r="F518" s="83">
        <v>11.99</v>
      </c>
      <c r="G518" s="356">
        <f t="shared" si="5"/>
        <v>12.4696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ht="13" x14ac:dyDescent="0.15">
      <c r="A519" s="387"/>
      <c r="B519" s="84" t="s">
        <v>546</v>
      </c>
      <c r="C519" s="84" t="s">
        <v>548</v>
      </c>
      <c r="D519" s="84"/>
      <c r="E519" s="84"/>
      <c r="F519" s="83">
        <v>19.489999999999998</v>
      </c>
      <c r="G519" s="356">
        <f t="shared" si="5"/>
        <v>20.269600000000001</v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ht="13" x14ac:dyDescent="0.15">
      <c r="A520" s="387"/>
      <c r="B520" s="84" t="s">
        <v>546</v>
      </c>
      <c r="C520" s="84" t="s">
        <v>549</v>
      </c>
      <c r="D520" s="84"/>
      <c r="E520" s="84"/>
      <c r="F520" s="83">
        <v>29.99</v>
      </c>
      <c r="G520" s="356">
        <f t="shared" si="5"/>
        <v>31.189599999999999</v>
      </c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ht="13" x14ac:dyDescent="0.15">
      <c r="A521" s="387"/>
      <c r="B521" s="84" t="s">
        <v>550</v>
      </c>
      <c r="C521" s="84" t="s">
        <v>551</v>
      </c>
      <c r="D521" s="84"/>
      <c r="E521" s="84"/>
      <c r="F521" s="83">
        <v>22.99</v>
      </c>
      <c r="G521" s="356">
        <f t="shared" si="5"/>
        <v>23.909599999999998</v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ht="13" x14ac:dyDescent="0.15">
      <c r="A522" s="387"/>
      <c r="B522" s="84" t="s">
        <v>550</v>
      </c>
      <c r="C522" s="84" t="s">
        <v>552</v>
      </c>
      <c r="D522" s="84"/>
      <c r="E522" s="84"/>
      <c r="F522" s="83">
        <v>19.989999999999998</v>
      </c>
      <c r="G522" s="356">
        <f t="shared" si="5"/>
        <v>20.7896</v>
      </c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ht="13" x14ac:dyDescent="0.15">
      <c r="A523" s="387"/>
      <c r="B523" s="84" t="s">
        <v>550</v>
      </c>
      <c r="C523" s="85" t="s">
        <v>553</v>
      </c>
      <c r="D523" s="85"/>
      <c r="E523" s="85"/>
      <c r="F523" s="18">
        <v>16.989999999999998</v>
      </c>
      <c r="G523" s="356">
        <f t="shared" si="5"/>
        <v>17.669599999999999</v>
      </c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ht="13" x14ac:dyDescent="0.15">
      <c r="A524" s="387"/>
      <c r="B524" s="84" t="s">
        <v>550</v>
      </c>
      <c r="C524" s="85" t="s">
        <v>554</v>
      </c>
      <c r="D524" s="85"/>
      <c r="E524" s="85"/>
      <c r="F524" s="18">
        <v>17.489999999999998</v>
      </c>
      <c r="G524" s="356">
        <f t="shared" si="5"/>
        <v>18.189599999999999</v>
      </c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ht="13" x14ac:dyDescent="0.15">
      <c r="A525" s="387"/>
      <c r="B525" s="84" t="s">
        <v>555</v>
      </c>
      <c r="C525" s="85" t="s">
        <v>556</v>
      </c>
      <c r="D525" s="85"/>
      <c r="E525" s="85"/>
      <c r="F525" s="18">
        <v>27.99</v>
      </c>
      <c r="G525" s="356">
        <f t="shared" si="5"/>
        <v>29.1096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ht="13" x14ac:dyDescent="0.15">
      <c r="A526" s="387"/>
      <c r="B526" s="84" t="s">
        <v>555</v>
      </c>
      <c r="C526" s="85" t="s">
        <v>557</v>
      </c>
      <c r="D526" s="85"/>
      <c r="E526" s="85"/>
      <c r="F526" s="18">
        <v>27.99</v>
      </c>
      <c r="G526" s="356">
        <f t="shared" si="5"/>
        <v>29.1096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ht="13" x14ac:dyDescent="0.15">
      <c r="A527" s="387"/>
      <c r="B527" s="367" t="s">
        <v>558</v>
      </c>
      <c r="C527" s="85" t="s">
        <v>265</v>
      </c>
      <c r="D527" s="85"/>
      <c r="E527" s="85"/>
      <c r="F527" s="18">
        <v>38.99</v>
      </c>
      <c r="G527" s="356">
        <f t="shared" si="5"/>
        <v>40.549600000000005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ht="13" x14ac:dyDescent="0.15">
      <c r="A528" s="387"/>
      <c r="B528" s="368"/>
      <c r="C528" s="85" t="s">
        <v>559</v>
      </c>
      <c r="D528" s="85"/>
      <c r="E528" s="85"/>
      <c r="F528" s="18">
        <v>38.99</v>
      </c>
      <c r="G528" s="356">
        <f t="shared" si="5"/>
        <v>40.549600000000005</v>
      </c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ht="13" x14ac:dyDescent="0.15">
      <c r="A529" s="387"/>
      <c r="B529" s="368"/>
      <c r="C529" s="85" t="s">
        <v>74</v>
      </c>
      <c r="D529" s="85"/>
      <c r="E529" s="85"/>
      <c r="F529" s="18">
        <v>38.99</v>
      </c>
      <c r="G529" s="356">
        <f t="shared" si="5"/>
        <v>40.549600000000005</v>
      </c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ht="13" x14ac:dyDescent="0.15">
      <c r="A530" s="387"/>
      <c r="B530" s="368"/>
      <c r="C530" s="85" t="s">
        <v>560</v>
      </c>
      <c r="D530" s="85"/>
      <c r="E530" s="85"/>
      <c r="F530" s="18">
        <v>38.99</v>
      </c>
      <c r="G530" s="356">
        <f t="shared" si="5"/>
        <v>40.549600000000005</v>
      </c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ht="13" x14ac:dyDescent="0.15">
      <c r="A531" s="387"/>
      <c r="B531" s="368"/>
      <c r="C531" s="85" t="s">
        <v>281</v>
      </c>
      <c r="D531" s="85"/>
      <c r="E531" s="85"/>
      <c r="F531" s="18">
        <v>38.99</v>
      </c>
      <c r="G531" s="356">
        <f t="shared" si="5"/>
        <v>40.549600000000005</v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13" x14ac:dyDescent="0.15">
      <c r="A532" s="387"/>
      <c r="B532" s="368"/>
      <c r="C532" s="85" t="s">
        <v>262</v>
      </c>
      <c r="D532" s="85"/>
      <c r="E532" s="85"/>
      <c r="F532" s="18">
        <v>38.99</v>
      </c>
      <c r="G532" s="356">
        <f t="shared" si="5"/>
        <v>40.549600000000005</v>
      </c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ht="13" x14ac:dyDescent="0.15">
      <c r="A533" s="387"/>
      <c r="B533" s="368"/>
      <c r="C533" s="85" t="s">
        <v>286</v>
      </c>
      <c r="D533" s="85"/>
      <c r="E533" s="85"/>
      <c r="F533" s="18">
        <v>38.99</v>
      </c>
      <c r="G533" s="356">
        <f t="shared" si="5"/>
        <v>40.549600000000005</v>
      </c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ht="13" x14ac:dyDescent="0.15">
      <c r="A534" s="387"/>
      <c r="B534" s="368"/>
      <c r="C534" s="85" t="s">
        <v>561</v>
      </c>
      <c r="D534" s="85"/>
      <c r="E534" s="85"/>
      <c r="F534" s="18">
        <v>38.99</v>
      </c>
      <c r="G534" s="356">
        <f t="shared" si="5"/>
        <v>40.549600000000005</v>
      </c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ht="13" x14ac:dyDescent="0.15">
      <c r="A535" s="387"/>
      <c r="B535" s="368"/>
      <c r="C535" s="85" t="s">
        <v>267</v>
      </c>
      <c r="D535" s="85"/>
      <c r="E535" s="85"/>
      <c r="F535" s="18">
        <v>38.99</v>
      </c>
      <c r="G535" s="356">
        <f t="shared" si="5"/>
        <v>40.549600000000005</v>
      </c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ht="13" x14ac:dyDescent="0.15">
      <c r="A536" s="387"/>
      <c r="B536" s="366"/>
      <c r="C536" s="85" t="s">
        <v>562</v>
      </c>
      <c r="D536" s="85"/>
      <c r="E536" s="85"/>
      <c r="F536" s="18">
        <v>38.99</v>
      </c>
      <c r="G536" s="356">
        <f t="shared" si="5"/>
        <v>40.549600000000005</v>
      </c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ht="13" x14ac:dyDescent="0.15">
      <c r="A537" s="387"/>
      <c r="B537" s="84" t="s">
        <v>563</v>
      </c>
      <c r="C537" s="85" t="s">
        <v>564</v>
      </c>
      <c r="D537" s="85"/>
      <c r="E537" s="85"/>
      <c r="F537" s="18">
        <v>19.989999999999998</v>
      </c>
      <c r="G537" s="356">
        <f t="shared" si="5"/>
        <v>20.7896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ht="13" x14ac:dyDescent="0.15">
      <c r="A538" s="387"/>
      <c r="B538" s="84" t="s">
        <v>565</v>
      </c>
      <c r="C538" s="84" t="s">
        <v>566</v>
      </c>
      <c r="D538" s="84"/>
      <c r="E538" s="84"/>
      <c r="F538" s="18">
        <v>8.99</v>
      </c>
      <c r="G538" s="356">
        <f t="shared" si="5"/>
        <v>9.3496000000000006</v>
      </c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ht="13" x14ac:dyDescent="0.15">
      <c r="A539" s="387"/>
      <c r="B539" s="84" t="s">
        <v>565</v>
      </c>
      <c r="C539" s="84" t="s">
        <v>567</v>
      </c>
      <c r="D539" s="84"/>
      <c r="E539" s="84"/>
      <c r="F539" s="18">
        <v>4.1500000000000004</v>
      </c>
      <c r="G539" s="356">
        <f t="shared" si="5"/>
        <v>4.3160000000000007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ht="13" x14ac:dyDescent="0.15">
      <c r="A540" s="387"/>
      <c r="B540" s="84" t="s">
        <v>565</v>
      </c>
      <c r="C540" s="84" t="s">
        <v>568</v>
      </c>
      <c r="D540" s="84"/>
      <c r="E540" s="84"/>
      <c r="F540" s="18">
        <v>8.99</v>
      </c>
      <c r="G540" s="356">
        <f t="shared" si="5"/>
        <v>9.3496000000000006</v>
      </c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ht="13" x14ac:dyDescent="0.15">
      <c r="A541" s="387"/>
      <c r="B541" s="84" t="s">
        <v>565</v>
      </c>
      <c r="C541" s="84" t="s">
        <v>569</v>
      </c>
      <c r="D541" s="84"/>
      <c r="E541" s="84"/>
      <c r="F541" s="18">
        <v>4.1500000000000004</v>
      </c>
      <c r="G541" s="356">
        <f t="shared" si="5"/>
        <v>4.3160000000000007</v>
      </c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ht="13" x14ac:dyDescent="0.15">
      <c r="A542" s="387"/>
      <c r="B542" s="84" t="s">
        <v>565</v>
      </c>
      <c r="C542" s="84" t="s">
        <v>570</v>
      </c>
      <c r="D542" s="84"/>
      <c r="E542" s="84"/>
      <c r="F542" s="18">
        <v>48</v>
      </c>
      <c r="G542" s="356">
        <f t="shared" si="5"/>
        <v>49.92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ht="13" x14ac:dyDescent="0.15">
      <c r="A543" s="387"/>
      <c r="B543" s="84" t="s">
        <v>565</v>
      </c>
      <c r="C543" s="84" t="s">
        <v>571</v>
      </c>
      <c r="D543" s="84"/>
      <c r="E543" s="84"/>
      <c r="F543" s="18">
        <v>80</v>
      </c>
      <c r="G543" s="356">
        <f t="shared" ref="G543:G574" si="6">F543*1.04</f>
        <v>83.2</v>
      </c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ht="13" x14ac:dyDescent="0.15">
      <c r="A544" s="388"/>
      <c r="B544" s="84" t="s">
        <v>565</v>
      </c>
      <c r="C544" s="84" t="s">
        <v>572</v>
      </c>
      <c r="D544" s="84"/>
      <c r="E544" s="84"/>
      <c r="F544" s="83">
        <v>4.79</v>
      </c>
      <c r="G544" s="356">
        <f t="shared" si="6"/>
        <v>4.9816000000000003</v>
      </c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ht="13" x14ac:dyDescent="0.15">
      <c r="A545" s="386" t="s">
        <v>573</v>
      </c>
      <c r="B545" s="84" t="s">
        <v>574</v>
      </c>
      <c r="C545" s="84" t="s">
        <v>575</v>
      </c>
      <c r="D545" s="84"/>
      <c r="E545" s="84"/>
      <c r="F545" s="83">
        <v>25.49</v>
      </c>
      <c r="G545" s="356">
        <f t="shared" si="6"/>
        <v>26.509599999999999</v>
      </c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ht="13" x14ac:dyDescent="0.15">
      <c r="A546" s="387"/>
      <c r="B546" s="84" t="s">
        <v>574</v>
      </c>
      <c r="C546" s="84" t="s">
        <v>576</v>
      </c>
      <c r="D546" s="84"/>
      <c r="E546" s="84"/>
      <c r="F546" s="83">
        <v>34.99</v>
      </c>
      <c r="G546" s="356">
        <f t="shared" si="6"/>
        <v>36.389600000000002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ht="13" x14ac:dyDescent="0.15">
      <c r="A547" s="387"/>
      <c r="B547" s="84" t="s">
        <v>574</v>
      </c>
      <c r="C547" s="84" t="s">
        <v>577</v>
      </c>
      <c r="D547" s="84"/>
      <c r="E547" s="84"/>
      <c r="F547" s="83">
        <v>64.989999999999995</v>
      </c>
      <c r="G547" s="356">
        <f t="shared" si="6"/>
        <v>67.58959999999999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13" x14ac:dyDescent="0.15">
      <c r="A548" s="387"/>
      <c r="B548" s="84" t="s">
        <v>574</v>
      </c>
      <c r="C548" s="84" t="s">
        <v>578</v>
      </c>
      <c r="D548" s="84"/>
      <c r="E548" s="84"/>
      <c r="F548" s="83">
        <v>86.99</v>
      </c>
      <c r="G548" s="356">
        <f t="shared" si="6"/>
        <v>90.4696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ht="13" x14ac:dyDescent="0.15">
      <c r="A549" s="387"/>
      <c r="B549" s="84" t="s">
        <v>574</v>
      </c>
      <c r="C549" s="84" t="s">
        <v>579</v>
      </c>
      <c r="D549" s="84"/>
      <c r="E549" s="84"/>
      <c r="F549" s="83">
        <v>114.99</v>
      </c>
      <c r="G549" s="356">
        <f t="shared" si="6"/>
        <v>119.5896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13" x14ac:dyDescent="0.15">
      <c r="A550" s="387"/>
      <c r="B550" s="84" t="s">
        <v>580</v>
      </c>
      <c r="C550" s="84" t="s">
        <v>581</v>
      </c>
      <c r="D550" s="84"/>
      <c r="E550" s="84"/>
      <c r="F550" s="18">
        <v>37.99</v>
      </c>
      <c r="G550" s="356">
        <f t="shared" si="6"/>
        <v>39.509600000000006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ht="13" x14ac:dyDescent="0.15">
      <c r="A551" s="387"/>
      <c r="B551" s="84" t="s">
        <v>580</v>
      </c>
      <c r="C551" s="84" t="s">
        <v>582</v>
      </c>
      <c r="D551" s="84"/>
      <c r="E551" s="84"/>
      <c r="F551" s="18">
        <v>54.99</v>
      </c>
      <c r="G551" s="356">
        <f t="shared" si="6"/>
        <v>57.189600000000006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ht="13" x14ac:dyDescent="0.15">
      <c r="A552" s="387"/>
      <c r="B552" s="84" t="s">
        <v>580</v>
      </c>
      <c r="C552" s="84" t="s">
        <v>583</v>
      </c>
      <c r="D552" s="84"/>
      <c r="E552" s="84"/>
      <c r="F552" s="18">
        <v>99.99</v>
      </c>
      <c r="G552" s="356">
        <f t="shared" si="6"/>
        <v>103.9896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ht="13" x14ac:dyDescent="0.15">
      <c r="A553" s="387"/>
      <c r="B553" s="84" t="s">
        <v>580</v>
      </c>
      <c r="C553" s="84" t="s">
        <v>584</v>
      </c>
      <c r="D553" s="84"/>
      <c r="E553" s="84"/>
      <c r="F553" s="18">
        <v>139.99</v>
      </c>
      <c r="G553" s="356">
        <f t="shared" si="6"/>
        <v>145.58960000000002</v>
      </c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13" x14ac:dyDescent="0.15">
      <c r="A554" s="387"/>
      <c r="B554" s="84" t="s">
        <v>580</v>
      </c>
      <c r="C554" s="84" t="s">
        <v>585</v>
      </c>
      <c r="D554" s="84"/>
      <c r="E554" s="84"/>
      <c r="F554" s="18">
        <v>189.99</v>
      </c>
      <c r="G554" s="356">
        <f t="shared" si="6"/>
        <v>197.58960000000002</v>
      </c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ht="13" x14ac:dyDescent="0.15">
      <c r="A555" s="387"/>
      <c r="B555" s="84" t="s">
        <v>586</v>
      </c>
      <c r="C555" s="84" t="s">
        <v>587</v>
      </c>
      <c r="D555" s="84"/>
      <c r="E555" s="84"/>
      <c r="F555" s="18">
        <v>44.99</v>
      </c>
      <c r="G555" s="356">
        <f t="shared" si="6"/>
        <v>46.789600000000007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ht="13" x14ac:dyDescent="0.15">
      <c r="A556" s="387"/>
      <c r="B556" s="84" t="s">
        <v>586</v>
      </c>
      <c r="C556" s="84" t="s">
        <v>588</v>
      </c>
      <c r="D556" s="84"/>
      <c r="E556" s="84"/>
      <c r="F556" s="18">
        <v>64.989999999999995</v>
      </c>
      <c r="G556" s="356">
        <f t="shared" si="6"/>
        <v>67.58959999999999</v>
      </c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ht="13" x14ac:dyDescent="0.15">
      <c r="A557" s="387"/>
      <c r="B557" s="84" t="s">
        <v>589</v>
      </c>
      <c r="C557" s="84" t="s">
        <v>590</v>
      </c>
      <c r="D557" s="84"/>
      <c r="E557" s="84"/>
      <c r="F557" s="18">
        <v>39.99</v>
      </c>
      <c r="G557" s="356">
        <f t="shared" si="6"/>
        <v>41.589600000000004</v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13" x14ac:dyDescent="0.15">
      <c r="A558" s="387"/>
      <c r="B558" s="84" t="s">
        <v>589</v>
      </c>
      <c r="C558" s="84" t="s">
        <v>591</v>
      </c>
      <c r="D558" s="84"/>
      <c r="E558" s="84"/>
      <c r="F558" s="18">
        <v>44.99</v>
      </c>
      <c r="G558" s="356">
        <f t="shared" si="6"/>
        <v>46.789600000000007</v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ht="13" x14ac:dyDescent="0.15">
      <c r="A559" s="387"/>
      <c r="B559" s="84" t="s">
        <v>592</v>
      </c>
      <c r="C559" s="84" t="s">
        <v>593</v>
      </c>
      <c r="D559" s="84"/>
      <c r="E559" s="84"/>
      <c r="F559" s="83">
        <v>42.99</v>
      </c>
      <c r="G559" s="356">
        <f t="shared" si="6"/>
        <v>44.709600000000002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ht="13" x14ac:dyDescent="0.15">
      <c r="A560" s="387"/>
      <c r="B560" s="84" t="s">
        <v>592</v>
      </c>
      <c r="C560" s="84" t="s">
        <v>594</v>
      </c>
      <c r="D560" s="84"/>
      <c r="E560" s="84"/>
      <c r="F560" s="83">
        <v>68.989999999999995</v>
      </c>
      <c r="G560" s="356">
        <f t="shared" si="6"/>
        <v>71.749600000000001</v>
      </c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ht="13" x14ac:dyDescent="0.15">
      <c r="A561" s="387"/>
      <c r="B561" s="84" t="s">
        <v>592</v>
      </c>
      <c r="C561" s="84" t="s">
        <v>595</v>
      </c>
      <c r="D561" s="84"/>
      <c r="E561" s="84"/>
      <c r="F561" s="83">
        <v>114.99</v>
      </c>
      <c r="G561" s="356">
        <f t="shared" si="6"/>
        <v>119.5896</v>
      </c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13" x14ac:dyDescent="0.15">
      <c r="A562" s="387"/>
      <c r="B562" s="84" t="s">
        <v>592</v>
      </c>
      <c r="C562" s="84" t="s">
        <v>596</v>
      </c>
      <c r="D562" s="84"/>
      <c r="E562" s="84"/>
      <c r="F562" s="83">
        <v>184.99</v>
      </c>
      <c r="G562" s="356">
        <f t="shared" si="6"/>
        <v>192.38960000000003</v>
      </c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ht="13" x14ac:dyDescent="0.15">
      <c r="A563" s="387"/>
      <c r="B563" s="84" t="s">
        <v>592</v>
      </c>
      <c r="C563" s="84" t="s">
        <v>597</v>
      </c>
      <c r="D563" s="84"/>
      <c r="E563" s="84"/>
      <c r="F563" s="83">
        <v>229.99</v>
      </c>
      <c r="G563" s="356">
        <f t="shared" si="6"/>
        <v>239.18960000000001</v>
      </c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ht="13" x14ac:dyDescent="0.15">
      <c r="A564" s="387"/>
      <c r="B564" s="84" t="s">
        <v>598</v>
      </c>
      <c r="C564" s="84" t="s">
        <v>281</v>
      </c>
      <c r="D564" s="84"/>
      <c r="E564" s="84"/>
      <c r="F564" s="83">
        <v>44.99</v>
      </c>
      <c r="G564" s="356">
        <f t="shared" si="6"/>
        <v>46.789600000000007</v>
      </c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ht="13" x14ac:dyDescent="0.15">
      <c r="A565" s="387"/>
      <c r="B565" s="84" t="s">
        <v>598</v>
      </c>
      <c r="C565" s="84" t="s">
        <v>599</v>
      </c>
      <c r="D565" s="84"/>
      <c r="E565" s="84"/>
      <c r="F565" s="83">
        <v>44.99</v>
      </c>
      <c r="G565" s="356">
        <f t="shared" si="6"/>
        <v>46.789600000000007</v>
      </c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ht="13" x14ac:dyDescent="0.15">
      <c r="A566" s="387"/>
      <c r="B566" s="84" t="s">
        <v>598</v>
      </c>
      <c r="C566" s="84" t="s">
        <v>600</v>
      </c>
      <c r="D566" s="84"/>
      <c r="E566" s="84"/>
      <c r="F566" s="83">
        <v>44.99</v>
      </c>
      <c r="G566" s="356">
        <f t="shared" si="6"/>
        <v>46.789600000000007</v>
      </c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ht="13" x14ac:dyDescent="0.15">
      <c r="A567" s="387"/>
      <c r="B567" s="84" t="s">
        <v>601</v>
      </c>
      <c r="C567" s="84" t="s">
        <v>602</v>
      </c>
      <c r="D567" s="84"/>
      <c r="E567" s="84"/>
      <c r="F567" s="83">
        <v>39.99</v>
      </c>
      <c r="G567" s="356">
        <f t="shared" si="6"/>
        <v>41.589600000000004</v>
      </c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ht="13" x14ac:dyDescent="0.15">
      <c r="A568" s="387"/>
      <c r="B568" s="84" t="s">
        <v>601</v>
      </c>
      <c r="C568" s="84" t="s">
        <v>603</v>
      </c>
      <c r="D568" s="84"/>
      <c r="E568" s="84"/>
      <c r="F568" s="83">
        <v>39.99</v>
      </c>
      <c r="G568" s="356">
        <f t="shared" si="6"/>
        <v>41.589600000000004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ht="13" x14ac:dyDescent="0.15">
      <c r="A569" s="387"/>
      <c r="B569" s="84" t="s">
        <v>604</v>
      </c>
      <c r="C569" s="84" t="s">
        <v>605</v>
      </c>
      <c r="D569" s="84"/>
      <c r="E569" s="84"/>
      <c r="F569" s="83">
        <v>44.99</v>
      </c>
      <c r="G569" s="356">
        <f t="shared" si="6"/>
        <v>46.789600000000007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ht="13" x14ac:dyDescent="0.15">
      <c r="A570" s="387"/>
      <c r="B570" s="84" t="s">
        <v>604</v>
      </c>
      <c r="C570" s="84" t="s">
        <v>606</v>
      </c>
      <c r="D570" s="84"/>
      <c r="E570" s="84"/>
      <c r="F570" s="83">
        <v>44.99</v>
      </c>
      <c r="G570" s="356">
        <f t="shared" si="6"/>
        <v>46.789600000000007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ht="13" x14ac:dyDescent="0.15">
      <c r="A571" s="387"/>
      <c r="B571" s="84" t="s">
        <v>604</v>
      </c>
      <c r="C571" s="84" t="s">
        <v>607</v>
      </c>
      <c r="D571" s="84"/>
      <c r="E571" s="84"/>
      <c r="F571" s="83">
        <v>44.99</v>
      </c>
      <c r="G571" s="356">
        <f t="shared" si="6"/>
        <v>46.789600000000007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ht="13" x14ac:dyDescent="0.15">
      <c r="A572" s="387"/>
      <c r="B572" s="84" t="s">
        <v>604</v>
      </c>
      <c r="C572" s="84" t="s">
        <v>608</v>
      </c>
      <c r="D572" s="84"/>
      <c r="E572" s="84"/>
      <c r="F572" s="83">
        <v>44.99</v>
      </c>
      <c r="G572" s="356">
        <f t="shared" si="6"/>
        <v>46.789600000000007</v>
      </c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ht="13" x14ac:dyDescent="0.15">
      <c r="A573" s="387"/>
      <c r="B573" s="84" t="s">
        <v>609</v>
      </c>
      <c r="C573" s="84" t="s">
        <v>256</v>
      </c>
      <c r="D573" s="84"/>
      <c r="E573" s="84"/>
      <c r="F573" s="83">
        <v>34.99</v>
      </c>
      <c r="G573" s="356">
        <f t="shared" si="6"/>
        <v>36.389600000000002</v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ht="13" x14ac:dyDescent="0.15">
      <c r="A574" s="387"/>
      <c r="B574" s="84" t="s">
        <v>609</v>
      </c>
      <c r="C574" s="84" t="s">
        <v>257</v>
      </c>
      <c r="D574" s="84"/>
      <c r="E574" s="84"/>
      <c r="F574" s="83">
        <v>44.99</v>
      </c>
      <c r="G574" s="356">
        <f t="shared" si="6"/>
        <v>46.789600000000007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ht="13" x14ac:dyDescent="0.15">
      <c r="A575" s="387"/>
      <c r="B575" s="84" t="s">
        <v>609</v>
      </c>
      <c r="C575" s="84" t="s">
        <v>610</v>
      </c>
      <c r="D575" s="84"/>
      <c r="E575" s="84"/>
      <c r="F575" s="83">
        <v>44.99</v>
      </c>
      <c r="G575" s="356">
        <f t="shared" ref="G575:G597" si="7">F575*1.04</f>
        <v>46.789600000000007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ht="13" x14ac:dyDescent="0.15">
      <c r="A576" s="387"/>
      <c r="B576" s="84" t="s">
        <v>609</v>
      </c>
      <c r="C576" s="84" t="s">
        <v>611</v>
      </c>
      <c r="D576" s="84"/>
      <c r="E576" s="84"/>
      <c r="F576" s="83">
        <v>44.99</v>
      </c>
      <c r="G576" s="356">
        <f t="shared" si="7"/>
        <v>46.789600000000007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ht="13" x14ac:dyDescent="0.15">
      <c r="A577" s="387"/>
      <c r="B577" s="84" t="s">
        <v>609</v>
      </c>
      <c r="C577" s="85" t="s">
        <v>612</v>
      </c>
      <c r="D577" s="85"/>
      <c r="E577" s="85"/>
      <c r="F577" s="83">
        <v>44.99</v>
      </c>
      <c r="G577" s="356">
        <f t="shared" si="7"/>
        <v>46.789600000000007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ht="13" x14ac:dyDescent="0.15">
      <c r="A578" s="387"/>
      <c r="B578" s="84" t="s">
        <v>609</v>
      </c>
      <c r="C578" s="85" t="s">
        <v>613</v>
      </c>
      <c r="D578" s="85"/>
      <c r="E578" s="85"/>
      <c r="F578" s="18">
        <v>39.99</v>
      </c>
      <c r="G578" s="356">
        <f t="shared" si="7"/>
        <v>41.589600000000004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ht="13" x14ac:dyDescent="0.15">
      <c r="A579" s="387"/>
      <c r="B579" s="84" t="s">
        <v>609</v>
      </c>
      <c r="C579" s="85" t="s">
        <v>614</v>
      </c>
      <c r="D579" s="85"/>
      <c r="E579" s="85"/>
      <c r="F579" s="18">
        <v>32.99</v>
      </c>
      <c r="G579" s="356">
        <f t="shared" si="7"/>
        <v>34.309600000000003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ht="13" x14ac:dyDescent="0.15">
      <c r="A580" s="387"/>
      <c r="B580" s="84" t="s">
        <v>609</v>
      </c>
      <c r="C580" s="85" t="s">
        <v>615</v>
      </c>
      <c r="D580" s="85"/>
      <c r="E580" s="85"/>
      <c r="F580" s="18">
        <v>44.99</v>
      </c>
      <c r="G580" s="356">
        <f t="shared" si="7"/>
        <v>46.789600000000007</v>
      </c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ht="13" x14ac:dyDescent="0.15">
      <c r="A581" s="387"/>
      <c r="B581" s="84" t="s">
        <v>616</v>
      </c>
      <c r="C581" s="85" t="s">
        <v>617</v>
      </c>
      <c r="D581" s="85"/>
      <c r="E581" s="85"/>
      <c r="F581" s="18">
        <v>27.99</v>
      </c>
      <c r="G581" s="356">
        <f t="shared" si="7"/>
        <v>29.1096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ht="13" x14ac:dyDescent="0.15">
      <c r="A582" s="387"/>
      <c r="B582" s="84" t="s">
        <v>616</v>
      </c>
      <c r="C582" s="85" t="s">
        <v>618</v>
      </c>
      <c r="D582" s="85"/>
      <c r="E582" s="85"/>
      <c r="F582" s="18">
        <v>27.99</v>
      </c>
      <c r="G582" s="356">
        <f t="shared" si="7"/>
        <v>29.1096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ht="13" x14ac:dyDescent="0.15">
      <c r="A583" s="387"/>
      <c r="B583" s="84" t="s">
        <v>616</v>
      </c>
      <c r="C583" s="85" t="s">
        <v>619</v>
      </c>
      <c r="D583" s="85"/>
      <c r="E583" s="85"/>
      <c r="F583" s="18">
        <v>39.99</v>
      </c>
      <c r="G583" s="356">
        <f t="shared" si="7"/>
        <v>41.589600000000004</v>
      </c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ht="13" x14ac:dyDescent="0.15">
      <c r="A584" s="387"/>
      <c r="B584" s="84" t="s">
        <v>616</v>
      </c>
      <c r="C584" s="85" t="s">
        <v>8</v>
      </c>
      <c r="D584" s="85"/>
      <c r="E584" s="85"/>
      <c r="F584" s="18">
        <v>27.99</v>
      </c>
      <c r="G584" s="356">
        <f t="shared" si="7"/>
        <v>29.1096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ht="13" x14ac:dyDescent="0.15">
      <c r="A585" s="387"/>
      <c r="B585" s="84" t="s">
        <v>616</v>
      </c>
      <c r="C585" s="85" t="s">
        <v>620</v>
      </c>
      <c r="D585" s="85"/>
      <c r="E585" s="85"/>
      <c r="F585" s="18">
        <v>27.99</v>
      </c>
      <c r="G585" s="356">
        <f t="shared" si="7"/>
        <v>29.1096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ht="13" x14ac:dyDescent="0.15">
      <c r="A586" s="387"/>
      <c r="B586" s="84" t="s">
        <v>616</v>
      </c>
      <c r="C586" s="85" t="s">
        <v>621</v>
      </c>
      <c r="D586" s="85"/>
      <c r="E586" s="85"/>
      <c r="F586" s="18">
        <v>27.99</v>
      </c>
      <c r="G586" s="356">
        <f t="shared" si="7"/>
        <v>29.1096</v>
      </c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ht="13" x14ac:dyDescent="0.15">
      <c r="A587" s="387"/>
      <c r="B587" s="84" t="s">
        <v>616</v>
      </c>
      <c r="C587" s="85" t="s">
        <v>278</v>
      </c>
      <c r="D587" s="85"/>
      <c r="E587" s="85"/>
      <c r="F587" s="18">
        <v>29.99</v>
      </c>
      <c r="G587" s="356">
        <f t="shared" si="7"/>
        <v>31.189599999999999</v>
      </c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ht="13" x14ac:dyDescent="0.15">
      <c r="A588" s="387"/>
      <c r="B588" s="84" t="s">
        <v>616</v>
      </c>
      <c r="C588" s="85" t="s">
        <v>622</v>
      </c>
      <c r="D588" s="85"/>
      <c r="E588" s="85"/>
      <c r="F588" s="18">
        <v>29.99</v>
      </c>
      <c r="G588" s="356">
        <f t="shared" si="7"/>
        <v>31.189599999999999</v>
      </c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ht="13" x14ac:dyDescent="0.15">
      <c r="A589" s="387"/>
      <c r="B589" s="84" t="s">
        <v>623</v>
      </c>
      <c r="C589" s="85" t="s">
        <v>624</v>
      </c>
      <c r="D589" s="85"/>
      <c r="E589" s="85"/>
      <c r="F589" s="18">
        <v>44.99</v>
      </c>
      <c r="G589" s="356">
        <f t="shared" si="7"/>
        <v>46.789600000000007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ht="13" x14ac:dyDescent="0.15">
      <c r="A590" s="387"/>
      <c r="B590" s="84" t="s">
        <v>623</v>
      </c>
      <c r="C590" s="85" t="s">
        <v>622</v>
      </c>
      <c r="D590" s="85"/>
      <c r="E590" s="85"/>
      <c r="F590" s="18">
        <v>44.99</v>
      </c>
      <c r="G590" s="356">
        <f t="shared" si="7"/>
        <v>46.789600000000007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ht="13" x14ac:dyDescent="0.15">
      <c r="A591" s="387"/>
      <c r="B591" s="84" t="s">
        <v>625</v>
      </c>
      <c r="C591" s="85" t="s">
        <v>259</v>
      </c>
      <c r="D591" s="85"/>
      <c r="E591" s="85"/>
      <c r="F591" s="18">
        <v>44.99</v>
      </c>
      <c r="G591" s="356">
        <f t="shared" si="7"/>
        <v>46.789600000000007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ht="13" x14ac:dyDescent="0.15">
      <c r="A592" s="387"/>
      <c r="B592" s="84" t="s">
        <v>625</v>
      </c>
      <c r="C592" s="85" t="s">
        <v>626</v>
      </c>
      <c r="D592" s="85"/>
      <c r="E592" s="85"/>
      <c r="F592" s="18">
        <v>44.99</v>
      </c>
      <c r="G592" s="356">
        <f t="shared" si="7"/>
        <v>46.789600000000007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ht="13" x14ac:dyDescent="0.15">
      <c r="A593" s="387"/>
      <c r="B593" s="84" t="s">
        <v>625</v>
      </c>
      <c r="C593" s="85" t="s">
        <v>627</v>
      </c>
      <c r="D593" s="85"/>
      <c r="E593" s="85"/>
      <c r="F593" s="18">
        <v>44.99</v>
      </c>
      <c r="G593" s="356">
        <f t="shared" si="7"/>
        <v>46.789600000000007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13" x14ac:dyDescent="0.15">
      <c r="A594" s="387"/>
      <c r="B594" s="84" t="s">
        <v>625</v>
      </c>
      <c r="C594" s="85" t="s">
        <v>628</v>
      </c>
      <c r="D594" s="85"/>
      <c r="E594" s="85"/>
      <c r="F594" s="18">
        <v>44.99</v>
      </c>
      <c r="G594" s="356">
        <f t="shared" si="7"/>
        <v>46.789600000000007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ht="13" x14ac:dyDescent="0.15">
      <c r="A595" s="387"/>
      <c r="B595" s="84" t="s">
        <v>625</v>
      </c>
      <c r="C595" s="85" t="s">
        <v>314</v>
      </c>
      <c r="D595" s="85"/>
      <c r="E595" s="85"/>
      <c r="F595" s="18">
        <v>44.99</v>
      </c>
      <c r="G595" s="356">
        <f t="shared" si="7"/>
        <v>46.789600000000007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13" x14ac:dyDescent="0.15">
      <c r="A596" s="387"/>
      <c r="B596" s="84" t="s">
        <v>625</v>
      </c>
      <c r="C596" s="85" t="s">
        <v>629</v>
      </c>
      <c r="D596" s="85"/>
      <c r="E596" s="85"/>
      <c r="F596" s="18">
        <v>44.99</v>
      </c>
      <c r="G596" s="356">
        <f t="shared" si="7"/>
        <v>46.789600000000007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ht="13" x14ac:dyDescent="0.15">
      <c r="A597" s="387"/>
      <c r="B597" s="84" t="s">
        <v>625</v>
      </c>
      <c r="C597" s="85" t="s">
        <v>630</v>
      </c>
      <c r="D597" s="85"/>
      <c r="E597" s="85"/>
      <c r="F597" s="18">
        <v>44.99</v>
      </c>
      <c r="G597" s="356">
        <f t="shared" si="7"/>
        <v>46.789600000000007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13" hidden="1" x14ac:dyDescent="0.15">
      <c r="A598" s="387"/>
      <c r="B598" s="84" t="s">
        <v>631</v>
      </c>
      <c r="C598" s="85" t="s">
        <v>631</v>
      </c>
      <c r="D598" s="85"/>
      <c r="E598" s="85"/>
      <c r="F598" s="18">
        <v>39.99</v>
      </c>
      <c r="G598" s="1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ht="13" x14ac:dyDescent="0.15">
      <c r="A599" s="387"/>
      <c r="B599" s="13" t="s">
        <v>632</v>
      </c>
      <c r="C599" s="85"/>
      <c r="D599" s="85"/>
      <c r="E599" s="85"/>
      <c r="F599" s="18">
        <v>37.99</v>
      </c>
      <c r="G599" s="356">
        <f>F599*1.04</f>
        <v>39.509600000000006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13" hidden="1" x14ac:dyDescent="0.15">
      <c r="A600" s="387"/>
      <c r="B600" s="13" t="s">
        <v>633</v>
      </c>
      <c r="C600" s="85"/>
      <c r="D600" s="85"/>
      <c r="E600" s="85"/>
      <c r="F600" s="18">
        <v>30</v>
      </c>
      <c r="G600" s="1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ht="13" hidden="1" x14ac:dyDescent="0.15">
      <c r="A601" s="387"/>
      <c r="B601" s="86" t="s">
        <v>634</v>
      </c>
      <c r="C601" s="87"/>
      <c r="D601" s="87"/>
      <c r="E601" s="87"/>
      <c r="F601" s="88">
        <v>35</v>
      </c>
      <c r="G601" s="89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13" hidden="1" x14ac:dyDescent="0.15">
      <c r="A602" s="395" t="s">
        <v>635</v>
      </c>
      <c r="B602" s="90" t="s">
        <v>636</v>
      </c>
      <c r="C602" s="90"/>
      <c r="D602" s="90"/>
      <c r="E602" s="90"/>
      <c r="F602" s="90">
        <v>45</v>
      </c>
      <c r="G602" s="89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ht="13" hidden="1" x14ac:dyDescent="0.15">
      <c r="A603" s="383"/>
      <c r="B603" s="86" t="s">
        <v>637</v>
      </c>
      <c r="C603" s="85"/>
      <c r="D603" s="85"/>
      <c r="E603" s="85"/>
      <c r="F603" s="86">
        <v>29.99</v>
      </c>
      <c r="G603" s="89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13" hidden="1" x14ac:dyDescent="0.15">
      <c r="A604" s="383"/>
      <c r="B604" s="86" t="s">
        <v>638</v>
      </c>
      <c r="C604" s="85"/>
      <c r="D604" s="85"/>
      <c r="E604" s="85"/>
      <c r="F604" s="86">
        <v>39.99</v>
      </c>
      <c r="G604" s="89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ht="13" hidden="1" x14ac:dyDescent="0.15">
      <c r="A605" s="383"/>
      <c r="B605" s="86" t="s">
        <v>639</v>
      </c>
      <c r="C605" s="85"/>
      <c r="D605" s="85"/>
      <c r="E605" s="85"/>
      <c r="F605" s="86">
        <v>18.989999999999998</v>
      </c>
      <c r="G605" s="89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ht="13" hidden="1" x14ac:dyDescent="0.15">
      <c r="A606" s="383"/>
      <c r="B606" s="86" t="s">
        <v>640</v>
      </c>
      <c r="C606" s="85"/>
      <c r="D606" s="85"/>
      <c r="E606" s="85"/>
      <c r="F606" s="86">
        <v>36.99</v>
      </c>
      <c r="G606" s="89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ht="13" hidden="1" x14ac:dyDescent="0.15">
      <c r="A607" s="383"/>
      <c r="B607" s="86" t="s">
        <v>641</v>
      </c>
      <c r="C607" s="85"/>
      <c r="D607" s="85"/>
      <c r="E607" s="85"/>
      <c r="F607" s="86">
        <v>8.99</v>
      </c>
      <c r="G607" s="89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ht="13" hidden="1" x14ac:dyDescent="0.15">
      <c r="A608" s="383"/>
      <c r="B608" s="86" t="s">
        <v>642</v>
      </c>
      <c r="C608" s="85"/>
      <c r="D608" s="85"/>
      <c r="E608" s="85"/>
      <c r="F608" s="86">
        <v>11.99</v>
      </c>
      <c r="G608" s="89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ht="13" hidden="1" x14ac:dyDescent="0.15">
      <c r="A609" s="383"/>
      <c r="B609" s="86" t="s">
        <v>643</v>
      </c>
      <c r="C609" s="85"/>
      <c r="D609" s="85"/>
      <c r="E609" s="85"/>
      <c r="F609" s="86">
        <v>11.99</v>
      </c>
      <c r="G609" s="89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ht="13" hidden="1" x14ac:dyDescent="0.15">
      <c r="A610" s="383"/>
      <c r="B610" s="86" t="s">
        <v>644</v>
      </c>
      <c r="C610" s="85"/>
      <c r="D610" s="85"/>
      <c r="E610" s="85"/>
      <c r="F610" s="86">
        <v>25.99</v>
      </c>
      <c r="G610" s="89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ht="13" hidden="1" x14ac:dyDescent="0.15">
      <c r="A611" s="383"/>
      <c r="B611" s="86" t="s">
        <v>645</v>
      </c>
      <c r="C611" s="85"/>
      <c r="D611" s="85"/>
      <c r="E611" s="85"/>
      <c r="F611" s="86">
        <v>32.99</v>
      </c>
      <c r="G611" s="89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ht="13" hidden="1" x14ac:dyDescent="0.15">
      <c r="A612" s="383"/>
      <c r="B612" s="86" t="s">
        <v>646</v>
      </c>
      <c r="C612" s="85"/>
      <c r="D612" s="85"/>
      <c r="E612" s="85"/>
      <c r="F612" s="86">
        <v>195</v>
      </c>
      <c r="G612" s="89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ht="13" hidden="1" x14ac:dyDescent="0.15">
      <c r="A613" s="383"/>
      <c r="B613" s="86" t="s">
        <v>647</v>
      </c>
      <c r="C613" s="85"/>
      <c r="D613" s="85"/>
      <c r="E613" s="85"/>
      <c r="F613" s="86">
        <v>245</v>
      </c>
      <c r="G613" s="89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ht="13" hidden="1" x14ac:dyDescent="0.15">
      <c r="A614" s="383"/>
      <c r="B614" s="86" t="s">
        <v>648</v>
      </c>
      <c r="C614" s="85"/>
      <c r="D614" s="85"/>
      <c r="E614" s="85"/>
      <c r="F614" s="86">
        <v>155</v>
      </c>
      <c r="G614" s="89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ht="13" hidden="1" x14ac:dyDescent="0.15">
      <c r="A615" s="383"/>
      <c r="B615" s="86" t="s">
        <v>649</v>
      </c>
      <c r="C615" s="85"/>
      <c r="D615" s="85"/>
      <c r="E615" s="85"/>
      <c r="F615" s="86">
        <v>219</v>
      </c>
      <c r="G615" s="89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ht="13" hidden="1" x14ac:dyDescent="0.15">
      <c r="A616" s="383"/>
      <c r="B616" s="13" t="s">
        <v>650</v>
      </c>
      <c r="C616" s="85" t="s">
        <v>651</v>
      </c>
      <c r="D616" s="85"/>
      <c r="E616" s="85"/>
      <c r="F616" s="86">
        <v>18.989999999999998</v>
      </c>
      <c r="G616" s="89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ht="13" hidden="1" x14ac:dyDescent="0.15">
      <c r="A617" s="383"/>
      <c r="B617" s="13" t="s">
        <v>652</v>
      </c>
      <c r="C617" s="85" t="s">
        <v>651</v>
      </c>
      <c r="D617" s="85"/>
      <c r="E617" s="85"/>
      <c r="F617" s="13">
        <v>36.99</v>
      </c>
      <c r="G617" s="1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ht="13" hidden="1" x14ac:dyDescent="0.15">
      <c r="A618" s="383"/>
      <c r="B618" s="13" t="s">
        <v>653</v>
      </c>
      <c r="C618" s="13"/>
      <c r="D618" s="13"/>
      <c r="E618" s="13"/>
      <c r="F618" s="13">
        <v>45.5</v>
      </c>
      <c r="G618" s="1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ht="14" hidden="1" thickBot="1" x14ac:dyDescent="0.2">
      <c r="A619" s="384"/>
      <c r="B619" s="91" t="s">
        <v>654</v>
      </c>
      <c r="C619" s="92"/>
      <c r="D619" s="92"/>
      <c r="E619" s="92"/>
      <c r="F619" s="92">
        <v>62.5</v>
      </c>
      <c r="G619" s="1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ht="13" x14ac:dyDescent="0.15">
      <c r="A620" s="94"/>
      <c r="C620" s="9"/>
      <c r="D620" s="9"/>
      <c r="E620" s="9"/>
      <c r="F620" s="9"/>
      <c r="G620" s="35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ht="13" x14ac:dyDescent="0.15">
      <c r="A621" s="94"/>
      <c r="B621" s="9"/>
      <c r="C621" s="9"/>
      <c r="D621" s="9"/>
      <c r="E621" s="9"/>
      <c r="F621" s="9"/>
      <c r="G621" s="35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ht="13" x14ac:dyDescent="0.15">
      <c r="A622" s="94"/>
      <c r="B622" s="9"/>
      <c r="C622" s="9"/>
      <c r="D622" s="9"/>
      <c r="E622" s="9"/>
      <c r="F622" s="9"/>
      <c r="G622" s="35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ht="13" x14ac:dyDescent="0.15">
      <c r="A623" s="8" t="s">
        <v>655</v>
      </c>
      <c r="B623" s="9" t="s">
        <v>656</v>
      </c>
      <c r="C623" s="9"/>
      <c r="D623" s="9"/>
      <c r="E623" s="9"/>
      <c r="F623" s="9">
        <v>125</v>
      </c>
      <c r="G623" s="357">
        <f t="shared" ref="G623:G660" si="8">F623*1.04</f>
        <v>130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ht="13" x14ac:dyDescent="0.15">
      <c r="A624" s="12"/>
      <c r="B624" s="13" t="s">
        <v>657</v>
      </c>
      <c r="C624" s="13"/>
      <c r="D624" s="13"/>
      <c r="E624" s="13"/>
      <c r="F624" s="13">
        <v>189</v>
      </c>
      <c r="G624" s="356">
        <f t="shared" si="8"/>
        <v>196.56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ht="13" x14ac:dyDescent="0.15">
      <c r="A625" s="12" t="s">
        <v>658</v>
      </c>
      <c r="B625" s="13" t="s">
        <v>656</v>
      </c>
      <c r="C625" s="13"/>
      <c r="D625" s="13"/>
      <c r="E625" s="13"/>
      <c r="F625" s="13">
        <v>165</v>
      </c>
      <c r="G625" s="356">
        <f t="shared" si="8"/>
        <v>171.6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ht="13" x14ac:dyDescent="0.15">
      <c r="A626" s="12"/>
      <c r="B626" s="12" t="s">
        <v>657</v>
      </c>
      <c r="C626" s="12"/>
      <c r="D626" s="12"/>
      <c r="E626" s="12"/>
      <c r="F626" s="95">
        <v>215</v>
      </c>
      <c r="G626" s="356">
        <f t="shared" si="8"/>
        <v>223.6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ht="13" x14ac:dyDescent="0.15">
      <c r="A627" s="12" t="s">
        <v>659</v>
      </c>
      <c r="B627" s="12" t="s">
        <v>656</v>
      </c>
      <c r="C627" s="12"/>
      <c r="D627" s="12"/>
      <c r="E627" s="12"/>
      <c r="F627" s="95">
        <v>149</v>
      </c>
      <c r="G627" s="356">
        <f t="shared" si="8"/>
        <v>154.96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ht="13" x14ac:dyDescent="0.15">
      <c r="A628" s="12"/>
      <c r="B628" s="12" t="s">
        <v>657</v>
      </c>
      <c r="C628" s="12"/>
      <c r="D628" s="12"/>
      <c r="E628" s="12"/>
      <c r="F628" s="95">
        <v>240</v>
      </c>
      <c r="G628" s="356">
        <f t="shared" si="8"/>
        <v>249.60000000000002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ht="13" x14ac:dyDescent="0.15">
      <c r="A629" s="12" t="s">
        <v>660</v>
      </c>
      <c r="B629" s="12" t="s">
        <v>656</v>
      </c>
      <c r="C629" s="12"/>
      <c r="D629" s="12"/>
      <c r="E629" s="12"/>
      <c r="F629" s="95">
        <v>169</v>
      </c>
      <c r="G629" s="356">
        <f t="shared" si="8"/>
        <v>175.76000000000002</v>
      </c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ht="13" x14ac:dyDescent="0.15">
      <c r="A630" s="12"/>
      <c r="B630" s="12" t="s">
        <v>657</v>
      </c>
      <c r="C630" s="12"/>
      <c r="D630" s="12"/>
      <c r="E630" s="12"/>
      <c r="F630" s="95">
        <v>245</v>
      </c>
      <c r="G630" s="356">
        <f t="shared" si="8"/>
        <v>254.8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ht="13" x14ac:dyDescent="0.15">
      <c r="A631" s="12" t="s">
        <v>661</v>
      </c>
      <c r="B631" s="12" t="s">
        <v>656</v>
      </c>
      <c r="C631" s="12"/>
      <c r="D631" s="12"/>
      <c r="E631" s="12"/>
      <c r="F631" s="95">
        <v>225</v>
      </c>
      <c r="G631" s="356">
        <f t="shared" si="8"/>
        <v>234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ht="13" x14ac:dyDescent="0.15">
      <c r="A632" s="12"/>
      <c r="B632" s="12" t="s">
        <v>657</v>
      </c>
      <c r="C632" s="12"/>
      <c r="D632" s="12"/>
      <c r="E632" s="12"/>
      <c r="F632" s="95">
        <v>350</v>
      </c>
      <c r="G632" s="356">
        <f t="shared" si="8"/>
        <v>364</v>
      </c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ht="13" x14ac:dyDescent="0.15">
      <c r="A633" s="12" t="s">
        <v>662</v>
      </c>
      <c r="B633" s="12" t="s">
        <v>656</v>
      </c>
      <c r="C633" s="12"/>
      <c r="D633" s="12"/>
      <c r="E633" s="12"/>
      <c r="F633" s="95">
        <v>270</v>
      </c>
      <c r="G633" s="356">
        <f t="shared" si="8"/>
        <v>280.8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ht="13" x14ac:dyDescent="0.15">
      <c r="A634" s="12"/>
      <c r="B634" s="12" t="s">
        <v>657</v>
      </c>
      <c r="C634" s="12"/>
      <c r="D634" s="12"/>
      <c r="E634" s="12"/>
      <c r="F634" s="95">
        <v>400</v>
      </c>
      <c r="G634" s="356">
        <f t="shared" si="8"/>
        <v>416</v>
      </c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ht="13" x14ac:dyDescent="0.15">
      <c r="A635" s="12" t="s">
        <v>33</v>
      </c>
      <c r="B635" s="12" t="s">
        <v>656</v>
      </c>
      <c r="C635" s="12"/>
      <c r="D635" s="12"/>
      <c r="E635" s="12"/>
      <c r="F635" s="95">
        <v>189</v>
      </c>
      <c r="G635" s="356">
        <f t="shared" si="8"/>
        <v>196.56</v>
      </c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13" x14ac:dyDescent="0.15">
      <c r="A636" s="12"/>
      <c r="B636" s="12" t="s">
        <v>657</v>
      </c>
      <c r="C636" s="12"/>
      <c r="D636" s="12"/>
      <c r="E636" s="12"/>
      <c r="F636" s="95">
        <v>299</v>
      </c>
      <c r="G636" s="356">
        <f t="shared" si="8"/>
        <v>310.96000000000004</v>
      </c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ht="13" x14ac:dyDescent="0.15">
      <c r="A637" s="12" t="s">
        <v>663</v>
      </c>
      <c r="B637" s="12" t="s">
        <v>656</v>
      </c>
      <c r="C637" s="12"/>
      <c r="D637" s="12"/>
      <c r="E637" s="12"/>
      <c r="F637" s="95">
        <v>125</v>
      </c>
      <c r="G637" s="356">
        <f t="shared" si="8"/>
        <v>130</v>
      </c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ht="13" x14ac:dyDescent="0.15">
      <c r="A638" s="12"/>
      <c r="B638" s="12" t="s">
        <v>657</v>
      </c>
      <c r="C638" s="12"/>
      <c r="D638" s="12"/>
      <c r="E638" s="12"/>
      <c r="F638" s="95">
        <v>189</v>
      </c>
      <c r="G638" s="356">
        <f t="shared" si="8"/>
        <v>196.56</v>
      </c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ht="13" x14ac:dyDescent="0.15">
      <c r="A639" s="12" t="s">
        <v>664</v>
      </c>
      <c r="B639" s="12" t="s">
        <v>656</v>
      </c>
      <c r="C639" s="12"/>
      <c r="D639" s="12"/>
      <c r="E639" s="12"/>
      <c r="F639" s="95">
        <v>159</v>
      </c>
      <c r="G639" s="356">
        <f t="shared" si="8"/>
        <v>165.36</v>
      </c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ht="13" x14ac:dyDescent="0.15">
      <c r="A640" s="12"/>
      <c r="B640" s="12" t="s">
        <v>657</v>
      </c>
      <c r="C640" s="12"/>
      <c r="D640" s="12"/>
      <c r="E640" s="12"/>
      <c r="F640" s="95">
        <v>225</v>
      </c>
      <c r="G640" s="356">
        <f t="shared" si="8"/>
        <v>234</v>
      </c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ht="13" x14ac:dyDescent="0.15">
      <c r="A641" s="12" t="s">
        <v>665</v>
      </c>
      <c r="B641" s="12" t="s">
        <v>656</v>
      </c>
      <c r="C641" s="12"/>
      <c r="D641" s="12"/>
      <c r="E641" s="12"/>
      <c r="F641" s="95">
        <v>149</v>
      </c>
      <c r="G641" s="356">
        <f t="shared" si="8"/>
        <v>154.96</v>
      </c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ht="13" x14ac:dyDescent="0.15">
      <c r="A642" s="12"/>
      <c r="B642" s="12" t="s">
        <v>657</v>
      </c>
      <c r="C642" s="12"/>
      <c r="D642" s="12"/>
      <c r="E642" s="12"/>
      <c r="F642" s="95">
        <v>239</v>
      </c>
      <c r="G642" s="356">
        <f t="shared" si="8"/>
        <v>248.56</v>
      </c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ht="13" x14ac:dyDescent="0.15">
      <c r="A643" s="12" t="s">
        <v>666</v>
      </c>
      <c r="B643" s="12" t="s">
        <v>656</v>
      </c>
      <c r="C643" s="12"/>
      <c r="D643" s="12"/>
      <c r="E643" s="12"/>
      <c r="F643" s="95">
        <v>159</v>
      </c>
      <c r="G643" s="356">
        <f t="shared" si="8"/>
        <v>165.36</v>
      </c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ht="13" x14ac:dyDescent="0.15">
      <c r="A644" s="12"/>
      <c r="B644" s="12" t="s">
        <v>657</v>
      </c>
      <c r="C644" s="12"/>
      <c r="D644" s="12"/>
      <c r="E644" s="12"/>
      <c r="F644" s="95">
        <v>225</v>
      </c>
      <c r="G644" s="356">
        <f t="shared" si="8"/>
        <v>234</v>
      </c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ht="13" x14ac:dyDescent="0.15">
      <c r="A645" s="12" t="s">
        <v>667</v>
      </c>
      <c r="B645" s="12" t="s">
        <v>656</v>
      </c>
      <c r="C645" s="12"/>
      <c r="D645" s="12"/>
      <c r="E645" s="12"/>
      <c r="F645" s="95">
        <v>249</v>
      </c>
      <c r="G645" s="356">
        <f t="shared" si="8"/>
        <v>258.96000000000004</v>
      </c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ht="13" x14ac:dyDescent="0.15">
      <c r="A646" s="12"/>
      <c r="B646" s="12" t="s">
        <v>657</v>
      </c>
      <c r="C646" s="12"/>
      <c r="D646" s="12"/>
      <c r="E646" s="12"/>
      <c r="F646" s="95">
        <v>365</v>
      </c>
      <c r="G646" s="356">
        <f t="shared" si="8"/>
        <v>379.6</v>
      </c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ht="13" x14ac:dyDescent="0.15">
      <c r="A647" s="12" t="s">
        <v>668</v>
      </c>
      <c r="B647" s="12" t="s">
        <v>656</v>
      </c>
      <c r="C647" s="12"/>
      <c r="D647" s="12"/>
      <c r="E647" s="12"/>
      <c r="F647" s="95">
        <v>185</v>
      </c>
      <c r="G647" s="356">
        <f t="shared" si="8"/>
        <v>192.4</v>
      </c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ht="13" x14ac:dyDescent="0.15">
      <c r="A648" s="12"/>
      <c r="B648" s="12" t="s">
        <v>657</v>
      </c>
      <c r="C648" s="12"/>
      <c r="D648" s="12"/>
      <c r="E648" s="12"/>
      <c r="F648" s="95">
        <v>299</v>
      </c>
      <c r="G648" s="356">
        <f t="shared" si="8"/>
        <v>310.96000000000004</v>
      </c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ht="13" x14ac:dyDescent="0.15">
      <c r="A649" s="12" t="s">
        <v>669</v>
      </c>
      <c r="B649" s="12" t="s">
        <v>656</v>
      </c>
      <c r="C649" s="12"/>
      <c r="D649" s="12"/>
      <c r="E649" s="12"/>
      <c r="F649" s="95">
        <v>35</v>
      </c>
      <c r="G649" s="356">
        <f t="shared" si="8"/>
        <v>36.4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ht="13" x14ac:dyDescent="0.15">
      <c r="A650" s="12"/>
      <c r="B650" s="12" t="s">
        <v>657</v>
      </c>
      <c r="C650" s="12"/>
      <c r="D650" s="12"/>
      <c r="E650" s="12"/>
      <c r="F650" s="95">
        <v>50</v>
      </c>
      <c r="G650" s="356">
        <f t="shared" si="8"/>
        <v>52</v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ht="13" x14ac:dyDescent="0.15">
      <c r="A651" s="12" t="s">
        <v>670</v>
      </c>
      <c r="B651" s="12" t="s">
        <v>656</v>
      </c>
      <c r="C651" s="12"/>
      <c r="D651" s="12"/>
      <c r="E651" s="12"/>
      <c r="F651" s="95">
        <v>35</v>
      </c>
      <c r="G651" s="356">
        <f t="shared" si="8"/>
        <v>36.4</v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ht="13" x14ac:dyDescent="0.15">
      <c r="A652" s="12"/>
      <c r="B652" s="12" t="s">
        <v>657</v>
      </c>
      <c r="C652" s="12"/>
      <c r="D652" s="12"/>
      <c r="E652" s="12"/>
      <c r="F652" s="95">
        <v>50</v>
      </c>
      <c r="G652" s="356">
        <f t="shared" si="8"/>
        <v>52</v>
      </c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ht="13" x14ac:dyDescent="0.15">
      <c r="A653" s="12" t="s">
        <v>671</v>
      </c>
      <c r="B653" s="12" t="s">
        <v>656</v>
      </c>
      <c r="C653" s="12"/>
      <c r="D653" s="12"/>
      <c r="E653" s="12"/>
      <c r="F653" s="95">
        <v>35</v>
      </c>
      <c r="G653" s="356">
        <f t="shared" si="8"/>
        <v>36.4</v>
      </c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ht="13" x14ac:dyDescent="0.15">
      <c r="A654" s="12"/>
      <c r="B654" s="12" t="s">
        <v>657</v>
      </c>
      <c r="C654" s="12"/>
      <c r="D654" s="12"/>
      <c r="E654" s="12"/>
      <c r="F654" s="95">
        <v>50</v>
      </c>
      <c r="G654" s="356">
        <f t="shared" si="8"/>
        <v>52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ht="13" x14ac:dyDescent="0.15">
      <c r="A655" s="12" t="s">
        <v>672</v>
      </c>
      <c r="B655" s="12" t="s">
        <v>656</v>
      </c>
      <c r="C655" s="12"/>
      <c r="D655" s="12"/>
      <c r="E655" s="12"/>
      <c r="F655" s="95">
        <v>35</v>
      </c>
      <c r="G655" s="356">
        <f t="shared" si="8"/>
        <v>36.4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ht="13" x14ac:dyDescent="0.15">
      <c r="A656" s="12"/>
      <c r="B656" s="12" t="s">
        <v>657</v>
      </c>
      <c r="C656" s="12"/>
      <c r="D656" s="12"/>
      <c r="E656" s="12"/>
      <c r="F656" s="95">
        <v>50</v>
      </c>
      <c r="G656" s="356">
        <f t="shared" si="8"/>
        <v>52</v>
      </c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ht="13" x14ac:dyDescent="0.15">
      <c r="A657" s="12" t="s">
        <v>673</v>
      </c>
      <c r="B657" s="12" t="s">
        <v>656</v>
      </c>
      <c r="C657" s="12"/>
      <c r="D657" s="12"/>
      <c r="E657" s="12"/>
      <c r="F657" s="95">
        <v>35</v>
      </c>
      <c r="G657" s="356">
        <f t="shared" si="8"/>
        <v>36.4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ht="13" x14ac:dyDescent="0.15">
      <c r="A658" s="12"/>
      <c r="B658" s="12" t="s">
        <v>657</v>
      </c>
      <c r="C658" s="12"/>
      <c r="D658" s="12"/>
      <c r="E658" s="12"/>
      <c r="F658" s="95">
        <v>50</v>
      </c>
      <c r="G658" s="356">
        <f t="shared" si="8"/>
        <v>52</v>
      </c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ht="13" x14ac:dyDescent="0.15">
      <c r="A659" s="12" t="s">
        <v>674</v>
      </c>
      <c r="B659" s="12" t="s">
        <v>656</v>
      </c>
      <c r="C659" s="12"/>
      <c r="D659" s="12"/>
      <c r="E659" s="12"/>
      <c r="F659" s="95">
        <v>35</v>
      </c>
      <c r="G659" s="356">
        <f t="shared" si="8"/>
        <v>36.4</v>
      </c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ht="13" x14ac:dyDescent="0.15">
      <c r="A660" s="12"/>
      <c r="B660" s="12" t="s">
        <v>657</v>
      </c>
      <c r="C660" s="12"/>
      <c r="D660" s="12"/>
      <c r="E660" s="12"/>
      <c r="F660" s="95">
        <v>50</v>
      </c>
      <c r="G660" s="356">
        <f t="shared" si="8"/>
        <v>52</v>
      </c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ht="13" x14ac:dyDescent="0.15">
      <c r="A661" s="20" t="s">
        <v>675</v>
      </c>
      <c r="B661" s="20" t="s">
        <v>676</v>
      </c>
      <c r="C661" s="20"/>
      <c r="D661" s="20"/>
      <c r="E661" s="20"/>
      <c r="F661" s="96" t="e">
        <f>#REF!*0.9615</f>
        <v>#REF!</v>
      </c>
      <c r="G661" s="35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ht="13" x14ac:dyDescent="0.15">
      <c r="A662" s="20" t="s">
        <v>677</v>
      </c>
      <c r="B662" s="20" t="s">
        <v>678</v>
      </c>
      <c r="C662" s="20"/>
      <c r="D662" s="20"/>
      <c r="E662" s="20"/>
      <c r="F662" s="96" t="e">
        <f>#REF!*0.9615</f>
        <v>#REF!</v>
      </c>
      <c r="G662" s="35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ht="13" x14ac:dyDescent="0.15">
      <c r="A663" s="396" t="s">
        <v>679</v>
      </c>
      <c r="B663" s="20" t="s">
        <v>680</v>
      </c>
      <c r="C663" s="20"/>
      <c r="D663" s="20"/>
      <c r="E663" s="20"/>
      <c r="F663" s="96" t="e">
        <f>#REF!*0.9615</f>
        <v>#REF!</v>
      </c>
      <c r="G663" s="35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ht="13" x14ac:dyDescent="0.15">
      <c r="A664" s="387"/>
      <c r="B664" s="20" t="s">
        <v>681</v>
      </c>
      <c r="C664" s="20"/>
      <c r="D664" s="20"/>
      <c r="E664" s="20"/>
      <c r="F664" s="96" t="e">
        <f>#REF!*0.9615</f>
        <v>#REF!</v>
      </c>
      <c r="G664" s="358" t="e">
        <f>F664*1.04</f>
        <v>#REF!</v>
      </c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ht="14" thickBot="1" x14ac:dyDescent="0.2">
      <c r="A665" s="387"/>
      <c r="B665" s="20" t="s">
        <v>682</v>
      </c>
      <c r="C665" s="97"/>
      <c r="D665" s="98"/>
      <c r="E665" s="99"/>
      <c r="F665" s="96" t="e">
        <f>#REF!*0.9615</f>
        <v>#REF!</v>
      </c>
      <c r="G665" s="359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ht="13" x14ac:dyDescent="0.15">
      <c r="A666" s="389" t="s">
        <v>683</v>
      </c>
      <c r="B666" s="379" t="s">
        <v>684</v>
      </c>
      <c r="C666" s="377" t="s">
        <v>685</v>
      </c>
      <c r="D666" s="100" t="s">
        <v>686</v>
      </c>
      <c r="E666" s="101" t="e">
        <f>#REF!</f>
        <v>#REF!</v>
      </c>
      <c r="F666" s="374">
        <v>59.99</v>
      </c>
      <c r="G666" s="371">
        <f>F666*1.04</f>
        <v>62.389600000000002</v>
      </c>
      <c r="H666" s="4"/>
      <c r="I666" s="102" t="s">
        <v>687</v>
      </c>
      <c r="J666" s="103" t="s">
        <v>688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ht="13" x14ac:dyDescent="0.15">
      <c r="A667" s="390"/>
      <c r="B667" s="380"/>
      <c r="C667" s="368"/>
      <c r="D667" s="104" t="s">
        <v>687</v>
      </c>
      <c r="E667" s="105" t="e">
        <f>E666+21.99</f>
        <v>#REF!</v>
      </c>
      <c r="F667" s="375"/>
      <c r="G667" s="372"/>
      <c r="H667" s="4"/>
      <c r="I667" s="106" t="s">
        <v>689</v>
      </c>
      <c r="J667" s="107" t="s">
        <v>690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ht="13" x14ac:dyDescent="0.15">
      <c r="A668" s="390"/>
      <c r="B668" s="380"/>
      <c r="C668" s="368"/>
      <c r="D668" s="104" t="s">
        <v>689</v>
      </c>
      <c r="E668" s="105" t="e">
        <f>E666+24.99</f>
        <v>#REF!</v>
      </c>
      <c r="F668" s="375"/>
      <c r="G668" s="372"/>
      <c r="H668" s="4"/>
      <c r="I668" s="106" t="s">
        <v>691</v>
      </c>
      <c r="J668" s="107" t="s">
        <v>692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ht="13" x14ac:dyDescent="0.15">
      <c r="A669" s="390"/>
      <c r="B669" s="380"/>
      <c r="C669" s="368"/>
      <c r="D669" s="104" t="s">
        <v>691</v>
      </c>
      <c r="E669" s="105" t="e">
        <f>E666+27.99</f>
        <v>#REF!</v>
      </c>
      <c r="F669" s="375"/>
      <c r="G669" s="372"/>
      <c r="H669" s="4"/>
      <c r="I669" s="106" t="s">
        <v>693</v>
      </c>
      <c r="J669" s="107" t="s">
        <v>690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ht="14" thickBot="1" x14ac:dyDescent="0.2">
      <c r="A670" s="390"/>
      <c r="B670" s="380"/>
      <c r="C670" s="368"/>
      <c r="D670" s="104" t="s">
        <v>693</v>
      </c>
      <c r="E670" s="105" t="e">
        <f>E666+24.99</f>
        <v>#REF!</v>
      </c>
      <c r="F670" s="375"/>
      <c r="G670" s="372"/>
      <c r="H670" s="4"/>
      <c r="I670" s="108" t="s">
        <v>694</v>
      </c>
      <c r="J670" s="109" t="s">
        <v>695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ht="14" thickBot="1" x14ac:dyDescent="0.2">
      <c r="A671" s="390"/>
      <c r="B671" s="381"/>
      <c r="C671" s="378"/>
      <c r="D671" s="110" t="s">
        <v>694</v>
      </c>
      <c r="E671" s="111" t="e">
        <f>E666+34.99</f>
        <v>#REF!</v>
      </c>
      <c r="F671" s="376"/>
      <c r="G671" s="37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ht="13" x14ac:dyDescent="0.15">
      <c r="A672" s="390"/>
      <c r="B672" s="379" t="s">
        <v>696</v>
      </c>
      <c r="C672" s="377" t="s">
        <v>697</v>
      </c>
      <c r="D672" s="100" t="s">
        <v>686</v>
      </c>
      <c r="E672" s="101" t="e">
        <f>#REF!</f>
        <v>#REF!</v>
      </c>
      <c r="F672" s="374" t="e">
        <f>#REF!</f>
        <v>#REF!</v>
      </c>
      <c r="G672" s="371">
        <f>F95*1.04</f>
        <v>39.509600000000006</v>
      </c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ht="13" x14ac:dyDescent="0.15">
      <c r="A673" s="390"/>
      <c r="B673" s="380"/>
      <c r="C673" s="368"/>
      <c r="D673" s="104" t="s">
        <v>687</v>
      </c>
      <c r="E673" s="105" t="e">
        <f>E672+21.99</f>
        <v>#REF!</v>
      </c>
      <c r="F673" s="375"/>
      <c r="G673" s="372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ht="13" x14ac:dyDescent="0.15">
      <c r="A674" s="390"/>
      <c r="B674" s="380"/>
      <c r="C674" s="368"/>
      <c r="D674" s="104" t="s">
        <v>689</v>
      </c>
      <c r="E674" s="105" t="e">
        <f>E672+24.99</f>
        <v>#REF!</v>
      </c>
      <c r="F674" s="375"/>
      <c r="G674" s="372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ht="13" x14ac:dyDescent="0.15">
      <c r="A675" s="390"/>
      <c r="B675" s="380"/>
      <c r="C675" s="368"/>
      <c r="D675" s="104" t="s">
        <v>691</v>
      </c>
      <c r="E675" s="105" t="e">
        <f>E672+27.99</f>
        <v>#REF!</v>
      </c>
      <c r="F675" s="375"/>
      <c r="G675" s="372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ht="13" x14ac:dyDescent="0.15">
      <c r="A676" s="390"/>
      <c r="B676" s="380"/>
      <c r="C676" s="368"/>
      <c r="D676" s="104" t="s">
        <v>693</v>
      </c>
      <c r="E676" s="105" t="e">
        <f>E672+24.99</f>
        <v>#REF!</v>
      </c>
      <c r="F676" s="375"/>
      <c r="G676" s="372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ht="14" thickBot="1" x14ac:dyDescent="0.2">
      <c r="A677" s="390"/>
      <c r="B677" s="381"/>
      <c r="C677" s="378"/>
      <c r="D677" s="110" t="s">
        <v>694</v>
      </c>
      <c r="E677" s="111" t="e">
        <f>E672+34.99</f>
        <v>#REF!</v>
      </c>
      <c r="F677" s="376"/>
      <c r="G677" s="37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ht="13" x14ac:dyDescent="0.15">
      <c r="A678" s="390"/>
      <c r="B678" s="382" t="s">
        <v>698</v>
      </c>
      <c r="C678" s="385" t="s">
        <v>699</v>
      </c>
      <c r="D678" s="100" t="s">
        <v>686</v>
      </c>
      <c r="E678" s="101" t="e">
        <f>#REF!</f>
        <v>#REF!</v>
      </c>
      <c r="F678" s="374">
        <v>35.99</v>
      </c>
      <c r="G678" s="371">
        <f>F678*1.04</f>
        <v>37.429600000000001</v>
      </c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ht="13" x14ac:dyDescent="0.15">
      <c r="A679" s="390"/>
      <c r="B679" s="383"/>
      <c r="C679" s="380"/>
      <c r="D679" s="104" t="s">
        <v>687</v>
      </c>
      <c r="E679" s="105" t="e">
        <f>E678+21.99</f>
        <v>#REF!</v>
      </c>
      <c r="F679" s="375"/>
      <c r="G679" s="372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ht="13" x14ac:dyDescent="0.15">
      <c r="A680" s="390"/>
      <c r="B680" s="383"/>
      <c r="C680" s="380"/>
      <c r="D680" s="104" t="s">
        <v>689</v>
      </c>
      <c r="E680" s="105" t="e">
        <f>E678+24.99</f>
        <v>#REF!</v>
      </c>
      <c r="F680" s="375"/>
      <c r="G680" s="372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ht="13" x14ac:dyDescent="0.15">
      <c r="A681" s="390"/>
      <c r="B681" s="383"/>
      <c r="C681" s="380"/>
      <c r="D681" s="104" t="s">
        <v>691</v>
      </c>
      <c r="E681" s="105" t="e">
        <f>E678+27.99</f>
        <v>#REF!</v>
      </c>
      <c r="F681" s="375"/>
      <c r="G681" s="372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ht="13" x14ac:dyDescent="0.15">
      <c r="A682" s="390"/>
      <c r="B682" s="383"/>
      <c r="C682" s="380"/>
      <c r="D682" s="104" t="s">
        <v>693</v>
      </c>
      <c r="E682" s="105" t="e">
        <f>E678+24.99</f>
        <v>#REF!</v>
      </c>
      <c r="F682" s="375"/>
      <c r="G682" s="372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ht="14" thickBot="1" x14ac:dyDescent="0.2">
      <c r="A683" s="390"/>
      <c r="B683" s="384"/>
      <c r="C683" s="381"/>
      <c r="D683" s="110" t="s">
        <v>694</v>
      </c>
      <c r="E683" s="111" t="e">
        <f>E678+34.99</f>
        <v>#REF!</v>
      </c>
      <c r="F683" s="376"/>
      <c r="G683" s="37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ht="13" x14ac:dyDescent="0.15">
      <c r="A684" s="390"/>
      <c r="B684" s="382" t="s">
        <v>700</v>
      </c>
      <c r="C684" s="379" t="s">
        <v>701</v>
      </c>
      <c r="D684" s="100" t="s">
        <v>686</v>
      </c>
      <c r="E684" s="101" t="e">
        <f>#REF!</f>
        <v>#REF!</v>
      </c>
      <c r="F684" s="374">
        <v>21.99</v>
      </c>
      <c r="G684" s="371">
        <f>F684*1.04</f>
        <v>22.869599999999998</v>
      </c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ht="13" x14ac:dyDescent="0.15">
      <c r="A685" s="390"/>
      <c r="B685" s="383"/>
      <c r="C685" s="380"/>
      <c r="D685" s="104" t="s">
        <v>687</v>
      </c>
      <c r="E685" s="105" t="e">
        <f>E684+21.99</f>
        <v>#REF!</v>
      </c>
      <c r="F685" s="375"/>
      <c r="G685" s="372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ht="13" x14ac:dyDescent="0.15">
      <c r="A686" s="390"/>
      <c r="B686" s="383"/>
      <c r="C686" s="380"/>
      <c r="D686" s="104" t="s">
        <v>689</v>
      </c>
      <c r="E686" s="105" t="e">
        <f>E684+24.99</f>
        <v>#REF!</v>
      </c>
      <c r="F686" s="375"/>
      <c r="G686" s="372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ht="13" x14ac:dyDescent="0.15">
      <c r="A687" s="390"/>
      <c r="B687" s="383"/>
      <c r="C687" s="380"/>
      <c r="D687" s="104" t="s">
        <v>691</v>
      </c>
      <c r="E687" s="105" t="e">
        <f>E684+27.99</f>
        <v>#REF!</v>
      </c>
      <c r="F687" s="375"/>
      <c r="G687" s="372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ht="13" x14ac:dyDescent="0.15">
      <c r="A688" s="390"/>
      <c r="B688" s="383"/>
      <c r="C688" s="380"/>
      <c r="D688" s="104" t="s">
        <v>693</v>
      </c>
      <c r="E688" s="105" t="e">
        <f>E684+24.99</f>
        <v>#REF!</v>
      </c>
      <c r="F688" s="375"/>
      <c r="G688" s="372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ht="14" thickBot="1" x14ac:dyDescent="0.2">
      <c r="A689" s="390"/>
      <c r="B689" s="384"/>
      <c r="C689" s="381"/>
      <c r="D689" s="110" t="s">
        <v>694</v>
      </c>
      <c r="E689" s="111" t="e">
        <f>E684+34.99</f>
        <v>#REF!</v>
      </c>
      <c r="F689" s="376"/>
      <c r="G689" s="37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ht="43" thickBot="1" x14ac:dyDescent="0.2">
      <c r="A690" s="390"/>
      <c r="B690" s="112" t="s">
        <v>702</v>
      </c>
      <c r="C690" s="113" t="s">
        <v>703</v>
      </c>
      <c r="D690" s="114"/>
      <c r="E690" s="114"/>
      <c r="F690" s="116">
        <v>30.99</v>
      </c>
      <c r="G690" s="360">
        <f t="shared" ref="G690:G700" si="9">F690*1.04</f>
        <v>32.229599999999998</v>
      </c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ht="31.5" customHeight="1" thickBot="1" x14ac:dyDescent="0.2">
      <c r="A691" s="390"/>
      <c r="B691" s="112" t="s">
        <v>704</v>
      </c>
      <c r="C691" s="113" t="s">
        <v>705</v>
      </c>
      <c r="D691" s="114"/>
      <c r="E691" s="114"/>
      <c r="F691" s="115">
        <v>37.99</v>
      </c>
      <c r="G691" s="361">
        <f t="shared" si="9"/>
        <v>39.509600000000006</v>
      </c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ht="43" thickBot="1" x14ac:dyDescent="0.2">
      <c r="A692" s="391"/>
      <c r="B692" s="112" t="s">
        <v>706</v>
      </c>
      <c r="C692" s="113" t="s">
        <v>707</v>
      </c>
      <c r="D692" s="114"/>
      <c r="E692" s="114"/>
      <c r="F692" s="115">
        <v>42.99</v>
      </c>
      <c r="G692" s="360">
        <f t="shared" si="9"/>
        <v>44.709600000000002</v>
      </c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ht="13" x14ac:dyDescent="0.15">
      <c r="A693" s="392" t="s">
        <v>708</v>
      </c>
      <c r="B693" s="117" t="s">
        <v>709</v>
      </c>
      <c r="C693" s="117"/>
      <c r="D693" s="117"/>
      <c r="E693" s="117"/>
      <c r="F693" s="118">
        <v>125</v>
      </c>
      <c r="G693" s="362">
        <f t="shared" si="9"/>
        <v>130</v>
      </c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ht="13" x14ac:dyDescent="0.15">
      <c r="A694" s="387"/>
      <c r="B694" s="119" t="s">
        <v>710</v>
      </c>
      <c r="C694" s="119"/>
      <c r="D694" s="119"/>
      <c r="E694" s="119"/>
      <c r="F694" s="120">
        <f>125+12</f>
        <v>137</v>
      </c>
      <c r="G694" s="363">
        <f t="shared" si="9"/>
        <v>142.48000000000002</v>
      </c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ht="13" x14ac:dyDescent="0.15">
      <c r="A695" s="387"/>
      <c r="B695" s="119" t="s">
        <v>711</v>
      </c>
      <c r="C695" s="119"/>
      <c r="D695" s="119"/>
      <c r="E695" s="119"/>
      <c r="F695" s="120">
        <v>125</v>
      </c>
      <c r="G695" s="363">
        <f t="shared" si="9"/>
        <v>130</v>
      </c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ht="13" x14ac:dyDescent="0.15">
      <c r="A696" s="388"/>
      <c r="B696" s="119" t="s">
        <v>712</v>
      </c>
      <c r="C696" s="119"/>
      <c r="D696" s="119"/>
      <c r="E696" s="119"/>
      <c r="F696" s="120">
        <f>125+12</f>
        <v>137</v>
      </c>
      <c r="G696" s="363">
        <f t="shared" si="9"/>
        <v>142.48000000000002</v>
      </c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ht="13" x14ac:dyDescent="0.15">
      <c r="A697" s="392" t="s">
        <v>713</v>
      </c>
      <c r="B697" s="119" t="s">
        <v>709</v>
      </c>
      <c r="C697" s="119"/>
      <c r="D697" s="119"/>
      <c r="E697" s="119"/>
      <c r="F697" s="120">
        <v>115</v>
      </c>
      <c r="G697" s="363">
        <f t="shared" si="9"/>
        <v>119.60000000000001</v>
      </c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ht="13" x14ac:dyDescent="0.15">
      <c r="A698" s="387"/>
      <c r="B698" s="119" t="s">
        <v>710</v>
      </c>
      <c r="C698" s="119"/>
      <c r="D698" s="119"/>
      <c r="E698" s="119"/>
      <c r="F698" s="120">
        <f>115+12</f>
        <v>127</v>
      </c>
      <c r="G698" s="363">
        <f t="shared" si="9"/>
        <v>132.08000000000001</v>
      </c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ht="13" x14ac:dyDescent="0.15">
      <c r="A699" s="387"/>
      <c r="B699" s="119" t="s">
        <v>711</v>
      </c>
      <c r="C699" s="119"/>
      <c r="D699" s="119"/>
      <c r="E699" s="119"/>
      <c r="F699" s="120">
        <v>115</v>
      </c>
      <c r="G699" s="363">
        <f t="shared" si="9"/>
        <v>119.60000000000001</v>
      </c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ht="13" x14ac:dyDescent="0.15">
      <c r="A700" s="388"/>
      <c r="B700" s="119" t="s">
        <v>712</v>
      </c>
      <c r="C700" s="119"/>
      <c r="D700" s="119"/>
      <c r="E700" s="119"/>
      <c r="F700" s="120">
        <f>115+12</f>
        <v>127</v>
      </c>
      <c r="G700" s="363">
        <f t="shared" si="9"/>
        <v>132.08000000000001</v>
      </c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ht="13" x14ac:dyDescent="0.15">
      <c r="A701" s="4"/>
      <c r="B701" s="4"/>
      <c r="C701" s="4"/>
      <c r="D701" s="4"/>
      <c r="E701" s="4"/>
      <c r="F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ht="13" x14ac:dyDescent="0.15">
      <c r="A702" s="4"/>
      <c r="B702" s="4"/>
      <c r="C702" s="4"/>
      <c r="D702" s="4"/>
      <c r="E702" s="4"/>
      <c r="F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ht="13" x14ac:dyDescent="0.15">
      <c r="A703" s="4"/>
      <c r="B703" s="4"/>
      <c r="C703" s="4"/>
      <c r="D703" s="4"/>
      <c r="E703" s="4"/>
      <c r="F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ht="13" x14ac:dyDescent="0.15">
      <c r="A704" s="4"/>
      <c r="B704" s="4"/>
      <c r="C704" s="4"/>
      <c r="D704" s="4"/>
      <c r="E704" s="4"/>
      <c r="F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ht="13" x14ac:dyDescent="0.15">
      <c r="A705" s="4"/>
      <c r="B705" s="4"/>
      <c r="C705" s="4"/>
      <c r="D705" s="4"/>
      <c r="E705" s="4"/>
      <c r="F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ht="13" x14ac:dyDescent="0.15">
      <c r="A706" s="4"/>
      <c r="B706" s="4"/>
      <c r="C706" s="4"/>
      <c r="D706" s="4"/>
      <c r="E706" s="4"/>
      <c r="F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ht="13" x14ac:dyDescent="0.15">
      <c r="A707" s="4"/>
      <c r="B707" s="4"/>
      <c r="C707" s="4"/>
      <c r="D707" s="4"/>
      <c r="E707" s="4"/>
      <c r="F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ht="13" x14ac:dyDescent="0.15">
      <c r="A708" s="4"/>
      <c r="B708" s="4"/>
      <c r="C708" s="4"/>
      <c r="D708" s="4"/>
      <c r="E708" s="4"/>
      <c r="F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ht="13" x14ac:dyDescent="0.15">
      <c r="A709" s="4"/>
      <c r="B709" s="4"/>
      <c r="C709" s="4"/>
      <c r="D709" s="4"/>
      <c r="E709" s="4"/>
      <c r="F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ht="13" x14ac:dyDescent="0.15">
      <c r="A710" s="4"/>
      <c r="B710" s="4"/>
      <c r="C710" s="4"/>
      <c r="D710" s="4"/>
      <c r="E710" s="4"/>
      <c r="F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ht="13" x14ac:dyDescent="0.15">
      <c r="A711" s="4"/>
      <c r="B711" s="4"/>
      <c r="C711" s="4"/>
      <c r="D711" s="4"/>
      <c r="E711" s="4"/>
      <c r="F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ht="13" x14ac:dyDescent="0.15">
      <c r="A712" s="4"/>
      <c r="B712" s="4"/>
      <c r="C712" s="4"/>
      <c r="D712" s="4"/>
      <c r="E712" s="4"/>
      <c r="F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ht="13" x14ac:dyDescent="0.15">
      <c r="A713" s="4"/>
      <c r="B713" s="4"/>
      <c r="C713" s="4"/>
      <c r="D713" s="4"/>
      <c r="E713" s="4"/>
      <c r="F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ht="13" x14ac:dyDescent="0.15">
      <c r="A714" s="4"/>
      <c r="B714" s="4"/>
      <c r="C714" s="4"/>
      <c r="D714" s="4"/>
      <c r="E714" s="4"/>
      <c r="F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ht="13" x14ac:dyDescent="0.15">
      <c r="A715" s="4"/>
      <c r="B715" s="4"/>
      <c r="C715" s="4"/>
      <c r="D715" s="4"/>
      <c r="E715" s="4"/>
      <c r="F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ht="13" x14ac:dyDescent="0.15">
      <c r="A716" s="4"/>
      <c r="B716" s="4"/>
      <c r="C716" s="4"/>
      <c r="D716" s="4"/>
      <c r="E716" s="4"/>
      <c r="F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ht="13" x14ac:dyDescent="0.15">
      <c r="A717" s="4"/>
      <c r="B717" s="4"/>
      <c r="C717" s="4"/>
      <c r="D717" s="4"/>
      <c r="E717" s="4"/>
      <c r="F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ht="13" x14ac:dyDescent="0.15">
      <c r="A718" s="4"/>
      <c r="B718" s="4"/>
      <c r="C718" s="4"/>
      <c r="D718" s="4"/>
      <c r="E718" s="4"/>
      <c r="F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ht="13" x14ac:dyDescent="0.15">
      <c r="A719" s="4"/>
      <c r="B719" s="4"/>
      <c r="C719" s="4"/>
      <c r="D719" s="4"/>
      <c r="E719" s="4"/>
      <c r="F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ht="13" x14ac:dyDescent="0.15">
      <c r="A720" s="4"/>
      <c r="B720" s="4"/>
      <c r="C720" s="4"/>
      <c r="D720" s="4"/>
      <c r="E720" s="4"/>
      <c r="F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ht="13" x14ac:dyDescent="0.15">
      <c r="A721" s="4"/>
      <c r="B721" s="4"/>
      <c r="C721" s="4"/>
      <c r="D721" s="4"/>
      <c r="E721" s="4"/>
      <c r="F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ht="13" x14ac:dyDescent="0.15">
      <c r="A722" s="4"/>
      <c r="B722" s="4"/>
      <c r="C722" s="4"/>
      <c r="D722" s="4"/>
      <c r="E722" s="4"/>
      <c r="F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ht="13" x14ac:dyDescent="0.15">
      <c r="A723" s="4"/>
      <c r="B723" s="4"/>
      <c r="C723" s="4"/>
      <c r="D723" s="4"/>
      <c r="E723" s="4"/>
      <c r="F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ht="13" x14ac:dyDescent="0.15">
      <c r="A724" s="4"/>
      <c r="B724" s="4"/>
      <c r="C724" s="4"/>
      <c r="D724" s="4"/>
      <c r="E724" s="4"/>
      <c r="F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ht="13" x14ac:dyDescent="0.15">
      <c r="A725" s="4"/>
      <c r="B725" s="4"/>
      <c r="C725" s="4"/>
      <c r="D725" s="4"/>
      <c r="E725" s="4"/>
      <c r="F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ht="13" x14ac:dyDescent="0.15">
      <c r="A726" s="4"/>
      <c r="B726" s="4"/>
      <c r="C726" s="4"/>
      <c r="D726" s="4"/>
      <c r="E726" s="4"/>
      <c r="F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ht="13" x14ac:dyDescent="0.15">
      <c r="A727" s="4"/>
      <c r="B727" s="4"/>
      <c r="C727" s="4"/>
      <c r="D727" s="4"/>
      <c r="E727" s="4"/>
      <c r="F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ht="13" x14ac:dyDescent="0.15">
      <c r="A728" s="4"/>
      <c r="B728" s="4"/>
      <c r="C728" s="4"/>
      <c r="D728" s="4"/>
      <c r="E728" s="4"/>
      <c r="F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ht="13" x14ac:dyDescent="0.15">
      <c r="A729" s="4"/>
      <c r="B729" s="4"/>
      <c r="C729" s="4"/>
      <c r="D729" s="4"/>
      <c r="E729" s="4"/>
      <c r="F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ht="13" x14ac:dyDescent="0.15">
      <c r="A730" s="4"/>
      <c r="B730" s="4"/>
      <c r="C730" s="4"/>
      <c r="D730" s="4"/>
      <c r="E730" s="4"/>
      <c r="F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ht="13" x14ac:dyDescent="0.15">
      <c r="A731" s="4"/>
      <c r="B731" s="4"/>
      <c r="C731" s="4"/>
      <c r="D731" s="4"/>
      <c r="E731" s="4"/>
      <c r="F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ht="13" x14ac:dyDescent="0.15">
      <c r="A732" s="4"/>
      <c r="B732" s="4"/>
      <c r="C732" s="4"/>
      <c r="D732" s="4"/>
      <c r="E732" s="4"/>
      <c r="F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ht="13" x14ac:dyDescent="0.15">
      <c r="A733" s="4"/>
      <c r="B733" s="4"/>
      <c r="C733" s="4"/>
      <c r="D733" s="4"/>
      <c r="E733" s="4"/>
      <c r="F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ht="13" x14ac:dyDescent="0.15">
      <c r="A734" s="4"/>
      <c r="B734" s="4"/>
      <c r="C734" s="4"/>
      <c r="D734" s="4"/>
      <c r="E734" s="4"/>
      <c r="F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ht="13" x14ac:dyDescent="0.15">
      <c r="A735" s="4"/>
      <c r="B735" s="4"/>
      <c r="C735" s="4"/>
      <c r="D735" s="4"/>
      <c r="E735" s="4"/>
      <c r="F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ht="13" x14ac:dyDescent="0.15">
      <c r="A736" s="4"/>
      <c r="B736" s="4"/>
      <c r="C736" s="4"/>
      <c r="D736" s="4"/>
      <c r="E736" s="4"/>
      <c r="F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ht="13" x14ac:dyDescent="0.15">
      <c r="A737" s="4"/>
      <c r="B737" s="4"/>
      <c r="C737" s="4"/>
      <c r="D737" s="4"/>
      <c r="E737" s="4"/>
      <c r="F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ht="13" x14ac:dyDescent="0.15">
      <c r="A738" s="4"/>
      <c r="B738" s="4"/>
      <c r="C738" s="4"/>
      <c r="D738" s="4"/>
      <c r="E738" s="4"/>
      <c r="F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ht="13" x14ac:dyDescent="0.15">
      <c r="A739" s="4"/>
      <c r="B739" s="4"/>
      <c r="C739" s="4"/>
      <c r="D739" s="4"/>
      <c r="E739" s="4"/>
      <c r="F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ht="13" x14ac:dyDescent="0.15">
      <c r="A740" s="4"/>
      <c r="B740" s="4"/>
      <c r="C740" s="4"/>
      <c r="D740" s="4"/>
      <c r="E740" s="4"/>
      <c r="F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ht="13" x14ac:dyDescent="0.15">
      <c r="A741" s="4"/>
      <c r="B741" s="4"/>
      <c r="C741" s="4"/>
      <c r="D741" s="4"/>
      <c r="E741" s="4"/>
      <c r="F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ht="13" x14ac:dyDescent="0.15">
      <c r="A742" s="4"/>
      <c r="B742" s="4"/>
      <c r="C742" s="4"/>
      <c r="D742" s="4"/>
      <c r="E742" s="4"/>
      <c r="F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ht="13" x14ac:dyDescent="0.15">
      <c r="A743" s="4"/>
      <c r="B743" s="4"/>
      <c r="C743" s="4"/>
      <c r="D743" s="4"/>
      <c r="E743" s="4"/>
      <c r="F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ht="13" x14ac:dyDescent="0.15">
      <c r="A744" s="4"/>
      <c r="B744" s="4"/>
      <c r="C744" s="4"/>
      <c r="D744" s="4"/>
      <c r="E744" s="4"/>
      <c r="F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ht="13" x14ac:dyDescent="0.15">
      <c r="A745" s="4"/>
      <c r="B745" s="4"/>
      <c r="C745" s="4"/>
      <c r="D745" s="4"/>
      <c r="E745" s="4"/>
      <c r="F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ht="13" x14ac:dyDescent="0.15">
      <c r="A746" s="4"/>
      <c r="B746" s="4"/>
      <c r="C746" s="4"/>
      <c r="D746" s="4"/>
      <c r="E746" s="4"/>
      <c r="F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ht="13" x14ac:dyDescent="0.15">
      <c r="A747" s="4"/>
      <c r="B747" s="4"/>
      <c r="C747" s="4"/>
      <c r="D747" s="4"/>
      <c r="E747" s="4"/>
      <c r="F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ht="13" x14ac:dyDescent="0.15">
      <c r="A748" s="4"/>
      <c r="B748" s="4"/>
      <c r="C748" s="4"/>
      <c r="D748" s="4"/>
      <c r="E748" s="4"/>
      <c r="F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ht="13" x14ac:dyDescent="0.15">
      <c r="A749" s="4"/>
      <c r="B749" s="4"/>
      <c r="C749" s="4"/>
      <c r="D749" s="4"/>
      <c r="E749" s="4"/>
      <c r="F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ht="13" x14ac:dyDescent="0.15">
      <c r="A750" s="4"/>
      <c r="B750" s="4"/>
      <c r="C750" s="4"/>
      <c r="D750" s="4"/>
      <c r="E750" s="4"/>
      <c r="F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ht="13" x14ac:dyDescent="0.15">
      <c r="A751" s="4"/>
      <c r="B751" s="4"/>
      <c r="C751" s="4"/>
      <c r="D751" s="4"/>
      <c r="E751" s="4"/>
      <c r="F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ht="13" x14ac:dyDescent="0.15">
      <c r="A752" s="4"/>
      <c r="B752" s="4"/>
      <c r="C752" s="4"/>
      <c r="D752" s="4"/>
      <c r="E752" s="4"/>
      <c r="F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ht="13" x14ac:dyDescent="0.15">
      <c r="A753" s="4"/>
      <c r="B753" s="4"/>
      <c r="C753" s="4"/>
      <c r="D753" s="4"/>
      <c r="E753" s="4"/>
      <c r="F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ht="13" x14ac:dyDescent="0.15">
      <c r="A754" s="4"/>
      <c r="B754" s="4"/>
      <c r="C754" s="4"/>
      <c r="D754" s="4"/>
      <c r="E754" s="4"/>
      <c r="F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ht="13" x14ac:dyDescent="0.15">
      <c r="A755" s="4"/>
      <c r="B755" s="4"/>
      <c r="C755" s="4"/>
      <c r="D755" s="4"/>
      <c r="E755" s="4"/>
      <c r="F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ht="13" x14ac:dyDescent="0.15">
      <c r="A756" s="4"/>
      <c r="B756" s="4"/>
      <c r="C756" s="4"/>
      <c r="D756" s="4"/>
      <c r="E756" s="4"/>
      <c r="F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ht="13" x14ac:dyDescent="0.15">
      <c r="A757" s="4"/>
      <c r="B757" s="4"/>
      <c r="C757" s="4"/>
      <c r="D757" s="4"/>
      <c r="E757" s="4"/>
      <c r="F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ht="13" x14ac:dyDescent="0.15">
      <c r="A758" s="4"/>
      <c r="B758" s="4"/>
      <c r="C758" s="4"/>
      <c r="D758" s="4"/>
      <c r="E758" s="4"/>
      <c r="F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ht="13" x14ac:dyDescent="0.15">
      <c r="A759" s="4"/>
      <c r="B759" s="4"/>
      <c r="C759" s="4"/>
      <c r="D759" s="4"/>
      <c r="E759" s="4"/>
      <c r="F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ht="13" x14ac:dyDescent="0.15">
      <c r="A760" s="4"/>
      <c r="B760" s="4"/>
      <c r="C760" s="4"/>
      <c r="D760" s="4"/>
      <c r="E760" s="4"/>
      <c r="F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ht="13" x14ac:dyDescent="0.15">
      <c r="A761" s="4"/>
      <c r="B761" s="4"/>
      <c r="C761" s="4"/>
      <c r="D761" s="4"/>
      <c r="E761" s="4"/>
      <c r="F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ht="13" x14ac:dyDescent="0.15">
      <c r="A762" s="4"/>
      <c r="B762" s="4"/>
      <c r="C762" s="4"/>
      <c r="D762" s="4"/>
      <c r="E762" s="4"/>
      <c r="F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ht="13" x14ac:dyDescent="0.15">
      <c r="A763" s="4"/>
      <c r="B763" s="4"/>
      <c r="C763" s="4"/>
      <c r="D763" s="4"/>
      <c r="E763" s="4"/>
      <c r="F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ht="13" x14ac:dyDescent="0.15">
      <c r="A764" s="4"/>
      <c r="B764" s="4"/>
      <c r="C764" s="4"/>
      <c r="D764" s="4"/>
      <c r="E764" s="4"/>
      <c r="F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ht="13" x14ac:dyDescent="0.15">
      <c r="A765" s="4"/>
      <c r="B765" s="4"/>
      <c r="C765" s="4"/>
      <c r="D765" s="4"/>
      <c r="E765" s="4"/>
      <c r="F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ht="13" x14ac:dyDescent="0.15">
      <c r="A766" s="4"/>
      <c r="B766" s="4"/>
      <c r="C766" s="4"/>
      <c r="D766" s="4"/>
      <c r="E766" s="4"/>
      <c r="F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ht="13" x14ac:dyDescent="0.15">
      <c r="A767" s="4"/>
      <c r="B767" s="4"/>
      <c r="C767" s="4"/>
      <c r="D767" s="4"/>
      <c r="E767" s="4"/>
      <c r="F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ht="13" x14ac:dyDescent="0.15">
      <c r="A768" s="4"/>
      <c r="B768" s="4"/>
      <c r="C768" s="4"/>
      <c r="D768" s="4"/>
      <c r="E768" s="4"/>
      <c r="F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ht="13" x14ac:dyDescent="0.15">
      <c r="A769" s="4"/>
      <c r="B769" s="4"/>
      <c r="C769" s="4"/>
      <c r="D769" s="4"/>
      <c r="E769" s="4"/>
      <c r="F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ht="13" x14ac:dyDescent="0.15">
      <c r="A770" s="4"/>
      <c r="B770" s="4"/>
      <c r="C770" s="4"/>
      <c r="D770" s="4"/>
      <c r="E770" s="4"/>
      <c r="F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ht="13" x14ac:dyDescent="0.15">
      <c r="A771" s="4"/>
      <c r="B771" s="4"/>
      <c r="C771" s="4"/>
      <c r="D771" s="4"/>
      <c r="E771" s="4"/>
      <c r="F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ht="13" x14ac:dyDescent="0.15">
      <c r="A772" s="4"/>
      <c r="B772" s="4"/>
      <c r="C772" s="4"/>
      <c r="D772" s="4"/>
      <c r="E772" s="4"/>
      <c r="F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ht="13" x14ac:dyDescent="0.15">
      <c r="A773" s="4"/>
      <c r="B773" s="4"/>
      <c r="C773" s="4"/>
      <c r="D773" s="4"/>
      <c r="E773" s="4"/>
      <c r="F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ht="13" x14ac:dyDescent="0.15">
      <c r="A774" s="4"/>
      <c r="B774" s="4"/>
      <c r="C774" s="4"/>
      <c r="D774" s="4"/>
      <c r="E774" s="4"/>
      <c r="F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ht="13" x14ac:dyDescent="0.15">
      <c r="A775" s="4"/>
      <c r="B775" s="4"/>
      <c r="C775" s="4"/>
      <c r="D775" s="4"/>
      <c r="E775" s="4"/>
      <c r="F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ht="13" x14ac:dyDescent="0.15">
      <c r="A776" s="4"/>
      <c r="B776" s="4"/>
      <c r="C776" s="4"/>
      <c r="D776" s="4"/>
      <c r="E776" s="4"/>
      <c r="F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ht="13" x14ac:dyDescent="0.15">
      <c r="A777" s="4"/>
      <c r="B777" s="4"/>
      <c r="C777" s="4"/>
      <c r="D777" s="4"/>
      <c r="E777" s="4"/>
      <c r="F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ht="13" x14ac:dyDescent="0.15">
      <c r="A778" s="4"/>
      <c r="B778" s="4"/>
      <c r="C778" s="4"/>
      <c r="D778" s="4"/>
      <c r="E778" s="4"/>
      <c r="F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ht="13" x14ac:dyDescent="0.15">
      <c r="A779" s="4"/>
      <c r="B779" s="4"/>
      <c r="C779" s="4"/>
      <c r="D779" s="4"/>
      <c r="E779" s="4"/>
      <c r="F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ht="13" x14ac:dyDescent="0.15">
      <c r="A780" s="4"/>
      <c r="B780" s="4"/>
      <c r="C780" s="4"/>
      <c r="D780" s="4"/>
      <c r="E780" s="4"/>
      <c r="F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ht="13" x14ac:dyDescent="0.15">
      <c r="A781" s="4"/>
      <c r="B781" s="4"/>
      <c r="C781" s="4"/>
      <c r="D781" s="4"/>
      <c r="E781" s="4"/>
      <c r="F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ht="13" x14ac:dyDescent="0.15">
      <c r="A782" s="4"/>
      <c r="B782" s="4"/>
      <c r="C782" s="4"/>
      <c r="D782" s="4"/>
      <c r="E782" s="4"/>
      <c r="F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ht="13" x14ac:dyDescent="0.15">
      <c r="A783" s="4"/>
      <c r="B783" s="4"/>
      <c r="C783" s="4"/>
      <c r="D783" s="4"/>
      <c r="E783" s="4"/>
      <c r="F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ht="13" x14ac:dyDescent="0.15">
      <c r="A784" s="4"/>
      <c r="B784" s="4"/>
      <c r="C784" s="4"/>
      <c r="D784" s="4"/>
      <c r="E784" s="4"/>
      <c r="F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ht="13" x14ac:dyDescent="0.15">
      <c r="A785" s="4"/>
      <c r="B785" s="4"/>
      <c r="C785" s="4"/>
      <c r="D785" s="4"/>
      <c r="E785" s="4"/>
      <c r="F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ht="13" x14ac:dyDescent="0.15">
      <c r="A786" s="4"/>
      <c r="B786" s="4"/>
      <c r="C786" s="4"/>
      <c r="D786" s="4"/>
      <c r="E786" s="4"/>
      <c r="F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ht="13" x14ac:dyDescent="0.15">
      <c r="A787" s="4"/>
      <c r="B787" s="4"/>
      <c r="C787" s="4"/>
      <c r="D787" s="4"/>
      <c r="E787" s="4"/>
      <c r="F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ht="13" x14ac:dyDescent="0.15">
      <c r="A788" s="4"/>
      <c r="B788" s="4"/>
      <c r="C788" s="4"/>
      <c r="D788" s="4"/>
      <c r="E788" s="4"/>
      <c r="F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ht="13" x14ac:dyDescent="0.15">
      <c r="A789" s="4"/>
      <c r="B789" s="4"/>
      <c r="C789" s="4"/>
      <c r="D789" s="4"/>
      <c r="E789" s="4"/>
      <c r="F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ht="13" x14ac:dyDescent="0.15">
      <c r="A790" s="4"/>
      <c r="B790" s="4"/>
      <c r="C790" s="4"/>
      <c r="D790" s="4"/>
      <c r="E790" s="4"/>
      <c r="F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ht="13" x14ac:dyDescent="0.15">
      <c r="A791" s="4"/>
      <c r="B791" s="4"/>
      <c r="C791" s="4"/>
      <c r="D791" s="4"/>
      <c r="E791" s="4"/>
      <c r="F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ht="13" x14ac:dyDescent="0.15">
      <c r="A792" s="4"/>
      <c r="B792" s="4"/>
      <c r="C792" s="4"/>
      <c r="D792" s="4"/>
      <c r="E792" s="4"/>
      <c r="F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ht="13" x14ac:dyDescent="0.15">
      <c r="A793" s="4"/>
      <c r="B793" s="4"/>
      <c r="C793" s="4"/>
      <c r="D793" s="4"/>
      <c r="E793" s="4"/>
      <c r="F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ht="13" x14ac:dyDescent="0.15">
      <c r="A794" s="4"/>
      <c r="B794" s="4"/>
      <c r="C794" s="4"/>
      <c r="D794" s="4"/>
      <c r="E794" s="4"/>
      <c r="F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ht="13" x14ac:dyDescent="0.15">
      <c r="A795" s="4"/>
      <c r="B795" s="4"/>
      <c r="C795" s="4"/>
      <c r="D795" s="4"/>
      <c r="E795" s="4"/>
      <c r="F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ht="13" x14ac:dyDescent="0.15">
      <c r="A796" s="4"/>
      <c r="B796" s="4"/>
      <c r="C796" s="4"/>
      <c r="D796" s="4"/>
      <c r="E796" s="4"/>
      <c r="F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ht="13" x14ac:dyDescent="0.15">
      <c r="A797" s="4"/>
      <c r="B797" s="4"/>
      <c r="C797" s="4"/>
      <c r="D797" s="4"/>
      <c r="E797" s="4"/>
      <c r="F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ht="13" x14ac:dyDescent="0.15">
      <c r="A798" s="4"/>
      <c r="B798" s="4"/>
      <c r="C798" s="4"/>
      <c r="D798" s="4"/>
      <c r="E798" s="4"/>
      <c r="F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ht="13" x14ac:dyDescent="0.15">
      <c r="A799" s="4"/>
      <c r="B799" s="4"/>
      <c r="C799" s="4"/>
      <c r="D799" s="4"/>
      <c r="E799" s="4"/>
      <c r="F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ht="13" x14ac:dyDescent="0.15">
      <c r="A800" s="4"/>
      <c r="B800" s="4"/>
      <c r="C800" s="4"/>
      <c r="D800" s="4"/>
      <c r="E800" s="4"/>
      <c r="F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ht="13" x14ac:dyDescent="0.15">
      <c r="A801" s="4"/>
      <c r="B801" s="4"/>
      <c r="C801" s="4"/>
      <c r="D801" s="4"/>
      <c r="E801" s="4"/>
      <c r="F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ht="13" x14ac:dyDescent="0.15">
      <c r="A802" s="4"/>
      <c r="B802" s="4"/>
      <c r="C802" s="4"/>
      <c r="D802" s="4"/>
      <c r="E802" s="4"/>
      <c r="F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ht="13" x14ac:dyDescent="0.15">
      <c r="A803" s="4"/>
      <c r="B803" s="4"/>
      <c r="C803" s="4"/>
      <c r="D803" s="4"/>
      <c r="E803" s="4"/>
      <c r="F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ht="13" x14ac:dyDescent="0.15">
      <c r="A804" s="4"/>
      <c r="B804" s="4"/>
      <c r="C804" s="4"/>
      <c r="D804" s="4"/>
      <c r="E804" s="4"/>
      <c r="F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ht="13" x14ac:dyDescent="0.15">
      <c r="A805" s="4"/>
      <c r="B805" s="4"/>
      <c r="C805" s="4"/>
      <c r="D805" s="4"/>
      <c r="E805" s="4"/>
      <c r="F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ht="13" x14ac:dyDescent="0.15">
      <c r="A806" s="4"/>
      <c r="B806" s="4"/>
      <c r="C806" s="4"/>
      <c r="D806" s="4"/>
      <c r="E806" s="4"/>
      <c r="F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ht="13" x14ac:dyDescent="0.15">
      <c r="A807" s="4"/>
      <c r="B807" s="4"/>
      <c r="C807" s="4"/>
      <c r="D807" s="4"/>
      <c r="E807" s="4"/>
      <c r="F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ht="13" x14ac:dyDescent="0.15">
      <c r="A808" s="4"/>
      <c r="B808" s="4"/>
      <c r="C808" s="4"/>
      <c r="D808" s="4"/>
      <c r="E808" s="4"/>
      <c r="F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ht="13" x14ac:dyDescent="0.15">
      <c r="A809" s="4"/>
      <c r="B809" s="4"/>
      <c r="C809" s="4"/>
      <c r="D809" s="4"/>
      <c r="E809" s="4"/>
      <c r="F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ht="13" x14ac:dyDescent="0.15">
      <c r="A810" s="4"/>
      <c r="B810" s="4"/>
      <c r="C810" s="4"/>
      <c r="D810" s="4"/>
      <c r="E810" s="4"/>
      <c r="F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ht="13" x14ac:dyDescent="0.15">
      <c r="A811" s="4"/>
      <c r="B811" s="4"/>
      <c r="C811" s="4"/>
      <c r="D811" s="4"/>
      <c r="E811" s="4"/>
      <c r="F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ht="13" x14ac:dyDescent="0.15">
      <c r="A812" s="4"/>
      <c r="B812" s="4"/>
      <c r="C812" s="4"/>
      <c r="D812" s="4"/>
      <c r="E812" s="4"/>
      <c r="F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ht="13" x14ac:dyDescent="0.15">
      <c r="A813" s="4"/>
      <c r="B813" s="4"/>
      <c r="C813" s="4"/>
      <c r="D813" s="4"/>
      <c r="E813" s="4"/>
      <c r="F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ht="13" x14ac:dyDescent="0.15">
      <c r="A814" s="4"/>
      <c r="B814" s="4"/>
      <c r="C814" s="4"/>
      <c r="D814" s="4"/>
      <c r="E814" s="4"/>
      <c r="F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ht="13" x14ac:dyDescent="0.15">
      <c r="A815" s="4"/>
      <c r="B815" s="4"/>
      <c r="C815" s="4"/>
      <c r="D815" s="4"/>
      <c r="E815" s="4"/>
      <c r="F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ht="13" x14ac:dyDescent="0.15">
      <c r="A816" s="4"/>
      <c r="B816" s="4"/>
      <c r="C816" s="4"/>
      <c r="D816" s="4"/>
      <c r="E816" s="4"/>
      <c r="F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ht="13" x14ac:dyDescent="0.15">
      <c r="A817" s="4"/>
      <c r="B817" s="4"/>
      <c r="C817" s="4"/>
      <c r="D817" s="4"/>
      <c r="E817" s="4"/>
      <c r="F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ht="13" x14ac:dyDescent="0.15">
      <c r="A818" s="4"/>
      <c r="B818" s="4"/>
      <c r="C818" s="4"/>
      <c r="D818" s="4"/>
      <c r="E818" s="4"/>
      <c r="F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ht="13" x14ac:dyDescent="0.15">
      <c r="A819" s="4"/>
      <c r="B819" s="4"/>
      <c r="C819" s="4"/>
      <c r="D819" s="4"/>
      <c r="E819" s="4"/>
      <c r="F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ht="13" x14ac:dyDescent="0.15">
      <c r="A820" s="4"/>
      <c r="B820" s="4"/>
      <c r="C820" s="4"/>
      <c r="D820" s="4"/>
      <c r="E820" s="4"/>
      <c r="F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ht="13" x14ac:dyDescent="0.15">
      <c r="A821" s="4"/>
      <c r="B821" s="4"/>
      <c r="C821" s="4"/>
      <c r="D821" s="4"/>
      <c r="E821" s="4"/>
      <c r="F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ht="13" x14ac:dyDescent="0.15">
      <c r="A822" s="4"/>
      <c r="B822" s="4"/>
      <c r="C822" s="4"/>
      <c r="D822" s="4"/>
      <c r="E822" s="4"/>
      <c r="F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ht="13" x14ac:dyDescent="0.15">
      <c r="A823" s="4"/>
      <c r="B823" s="4"/>
      <c r="C823" s="4"/>
      <c r="D823" s="4"/>
      <c r="E823" s="4"/>
      <c r="F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ht="13" x14ac:dyDescent="0.15">
      <c r="A824" s="4"/>
      <c r="B824" s="4"/>
      <c r="C824" s="4"/>
      <c r="D824" s="4"/>
      <c r="E824" s="4"/>
      <c r="F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ht="13" x14ac:dyDescent="0.15">
      <c r="A825" s="4"/>
      <c r="B825" s="4"/>
      <c r="C825" s="4"/>
      <c r="D825" s="4"/>
      <c r="E825" s="4"/>
      <c r="F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ht="13" x14ac:dyDescent="0.15">
      <c r="A826" s="4"/>
      <c r="B826" s="4"/>
      <c r="C826" s="4"/>
      <c r="D826" s="4"/>
      <c r="E826" s="4"/>
      <c r="F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ht="13" x14ac:dyDescent="0.15">
      <c r="A827" s="4"/>
      <c r="B827" s="4"/>
      <c r="C827" s="4"/>
      <c r="D827" s="4"/>
      <c r="E827" s="4"/>
      <c r="F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ht="13" x14ac:dyDescent="0.15">
      <c r="A828" s="4"/>
      <c r="B828" s="4"/>
      <c r="C828" s="4"/>
      <c r="D828" s="4"/>
      <c r="E828" s="4"/>
      <c r="F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ht="13" x14ac:dyDescent="0.15">
      <c r="A829" s="4"/>
      <c r="B829" s="4"/>
      <c r="C829" s="4"/>
      <c r="D829" s="4"/>
      <c r="E829" s="4"/>
      <c r="F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ht="13" x14ac:dyDescent="0.15">
      <c r="A830" s="4"/>
      <c r="B830" s="4"/>
      <c r="C830" s="4"/>
      <c r="D830" s="4"/>
      <c r="E830" s="4"/>
      <c r="F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ht="13" x14ac:dyDescent="0.15">
      <c r="A831" s="4"/>
      <c r="B831" s="4"/>
      <c r="C831" s="4"/>
      <c r="D831" s="4"/>
      <c r="E831" s="4"/>
      <c r="F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ht="13" x14ac:dyDescent="0.15">
      <c r="A832" s="4"/>
      <c r="B832" s="4"/>
      <c r="C832" s="4"/>
      <c r="D832" s="4"/>
      <c r="E832" s="4"/>
      <c r="F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ht="13" x14ac:dyDescent="0.15">
      <c r="A833" s="4"/>
      <c r="B833" s="4"/>
      <c r="C833" s="4"/>
      <c r="D833" s="4"/>
      <c r="E833" s="4"/>
      <c r="F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ht="13" x14ac:dyDescent="0.15">
      <c r="A834" s="4"/>
      <c r="B834" s="4"/>
      <c r="C834" s="4"/>
      <c r="D834" s="4"/>
      <c r="E834" s="4"/>
      <c r="F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ht="13" x14ac:dyDescent="0.15">
      <c r="A835" s="4"/>
      <c r="B835" s="4"/>
      <c r="C835" s="4"/>
      <c r="D835" s="4"/>
      <c r="E835" s="4"/>
      <c r="F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ht="13" x14ac:dyDescent="0.15">
      <c r="A836" s="4"/>
      <c r="B836" s="4"/>
      <c r="C836" s="4"/>
      <c r="D836" s="4"/>
      <c r="E836" s="4"/>
      <c r="F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ht="13" x14ac:dyDescent="0.15">
      <c r="A837" s="4"/>
      <c r="B837" s="4"/>
      <c r="C837" s="4"/>
      <c r="D837" s="4"/>
      <c r="E837" s="4"/>
      <c r="F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ht="13" x14ac:dyDescent="0.15">
      <c r="A838" s="4"/>
      <c r="B838" s="4"/>
      <c r="C838" s="4"/>
      <c r="D838" s="4"/>
      <c r="E838" s="4"/>
      <c r="F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ht="13" x14ac:dyDescent="0.15">
      <c r="A839" s="4"/>
      <c r="B839" s="4"/>
      <c r="C839" s="4"/>
      <c r="D839" s="4"/>
      <c r="E839" s="4"/>
      <c r="F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ht="13" x14ac:dyDescent="0.15">
      <c r="A840" s="4"/>
      <c r="B840" s="4"/>
      <c r="C840" s="4"/>
      <c r="D840" s="4"/>
      <c r="E840" s="4"/>
      <c r="F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ht="13" x14ac:dyDescent="0.15">
      <c r="A841" s="4"/>
      <c r="B841" s="4"/>
      <c r="C841" s="4"/>
      <c r="D841" s="4"/>
      <c r="E841" s="4"/>
      <c r="F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ht="13" x14ac:dyDescent="0.15">
      <c r="A842" s="4"/>
      <c r="B842" s="4"/>
      <c r="C842" s="4"/>
      <c r="D842" s="4"/>
      <c r="E842" s="4"/>
      <c r="F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ht="13" x14ac:dyDescent="0.15">
      <c r="A843" s="4"/>
      <c r="B843" s="4"/>
      <c r="C843" s="4"/>
      <c r="D843" s="4"/>
      <c r="E843" s="4"/>
      <c r="F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ht="13" x14ac:dyDescent="0.15">
      <c r="A844" s="4"/>
      <c r="B844" s="4"/>
      <c r="C844" s="4"/>
      <c r="D844" s="4"/>
      <c r="E844" s="4"/>
      <c r="F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ht="13" x14ac:dyDescent="0.15">
      <c r="A845" s="4"/>
      <c r="B845" s="4"/>
      <c r="C845" s="4"/>
      <c r="D845" s="4"/>
      <c r="E845" s="4"/>
      <c r="F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ht="13" x14ac:dyDescent="0.15">
      <c r="A846" s="4"/>
      <c r="B846" s="4"/>
      <c r="C846" s="4"/>
      <c r="D846" s="4"/>
      <c r="E846" s="4"/>
      <c r="F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ht="13" x14ac:dyDescent="0.15">
      <c r="A847" s="4"/>
      <c r="B847" s="4"/>
      <c r="C847" s="4"/>
      <c r="D847" s="4"/>
      <c r="E847" s="4"/>
      <c r="F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ht="13" x14ac:dyDescent="0.15">
      <c r="A848" s="4"/>
      <c r="B848" s="4"/>
      <c r="C848" s="4"/>
      <c r="D848" s="4"/>
      <c r="E848" s="4"/>
      <c r="F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ht="13" x14ac:dyDescent="0.15">
      <c r="A849" s="4"/>
      <c r="B849" s="4"/>
      <c r="C849" s="4"/>
      <c r="D849" s="4"/>
      <c r="E849" s="4"/>
      <c r="F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ht="13" x14ac:dyDescent="0.15">
      <c r="A850" s="4"/>
      <c r="B850" s="4"/>
      <c r="C850" s="4"/>
      <c r="D850" s="4"/>
      <c r="E850" s="4"/>
      <c r="F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ht="13" x14ac:dyDescent="0.15">
      <c r="A851" s="4"/>
      <c r="B851" s="4"/>
      <c r="C851" s="4"/>
      <c r="D851" s="4"/>
      <c r="E851" s="4"/>
      <c r="F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ht="13" x14ac:dyDescent="0.15">
      <c r="A852" s="4"/>
      <c r="B852" s="4"/>
      <c r="C852" s="4"/>
      <c r="D852" s="4"/>
      <c r="E852" s="4"/>
      <c r="F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ht="13" x14ac:dyDescent="0.15">
      <c r="A853" s="4"/>
      <c r="B853" s="4"/>
      <c r="C853" s="4"/>
      <c r="D853" s="4"/>
      <c r="E853" s="4"/>
      <c r="F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ht="13" x14ac:dyDescent="0.15">
      <c r="A854" s="4"/>
      <c r="B854" s="4"/>
      <c r="C854" s="4"/>
      <c r="D854" s="4"/>
      <c r="E854" s="4"/>
      <c r="F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ht="13" x14ac:dyDescent="0.15">
      <c r="A855" s="4"/>
      <c r="B855" s="4"/>
      <c r="C855" s="4"/>
      <c r="D855" s="4"/>
      <c r="E855" s="4"/>
      <c r="F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ht="13" x14ac:dyDescent="0.15">
      <c r="A856" s="4"/>
      <c r="B856" s="4"/>
      <c r="C856" s="4"/>
      <c r="D856" s="4"/>
      <c r="E856" s="4"/>
      <c r="F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ht="13" x14ac:dyDescent="0.15">
      <c r="A857" s="4"/>
      <c r="B857" s="4"/>
      <c r="C857" s="4"/>
      <c r="D857" s="4"/>
      <c r="E857" s="4"/>
      <c r="F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ht="13" x14ac:dyDescent="0.15">
      <c r="A858" s="4"/>
      <c r="B858" s="4"/>
      <c r="C858" s="4"/>
      <c r="D858" s="4"/>
      <c r="E858" s="4"/>
      <c r="F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ht="13" x14ac:dyDescent="0.15">
      <c r="A859" s="4"/>
      <c r="B859" s="4"/>
      <c r="C859" s="4"/>
      <c r="D859" s="4"/>
      <c r="E859" s="4"/>
      <c r="F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ht="13" x14ac:dyDescent="0.15">
      <c r="A860" s="4"/>
      <c r="B860" s="4"/>
      <c r="C860" s="4"/>
      <c r="D860" s="4"/>
      <c r="E860" s="4"/>
      <c r="F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ht="13" x14ac:dyDescent="0.15">
      <c r="A861" s="4"/>
      <c r="B861" s="4"/>
      <c r="C861" s="4"/>
      <c r="D861" s="4"/>
      <c r="E861" s="4"/>
      <c r="F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ht="13" x14ac:dyDescent="0.15">
      <c r="A862" s="4"/>
      <c r="B862" s="4"/>
      <c r="C862" s="4"/>
      <c r="D862" s="4"/>
      <c r="E862" s="4"/>
      <c r="F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ht="13" x14ac:dyDescent="0.15">
      <c r="A863" s="4"/>
      <c r="B863" s="4"/>
      <c r="C863" s="4"/>
      <c r="D863" s="4"/>
      <c r="E863" s="4"/>
      <c r="F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ht="13" x14ac:dyDescent="0.15">
      <c r="A864" s="4"/>
      <c r="B864" s="4"/>
      <c r="C864" s="4"/>
      <c r="D864" s="4"/>
      <c r="E864" s="4"/>
      <c r="F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ht="13" x14ac:dyDescent="0.15">
      <c r="A865" s="4"/>
      <c r="B865" s="4"/>
      <c r="C865" s="4"/>
      <c r="D865" s="4"/>
      <c r="E865" s="4"/>
      <c r="F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ht="13" x14ac:dyDescent="0.15">
      <c r="A866" s="4"/>
      <c r="B866" s="4"/>
      <c r="C866" s="4"/>
      <c r="D866" s="4"/>
      <c r="E866" s="4"/>
      <c r="F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ht="13" x14ac:dyDescent="0.15">
      <c r="A867" s="4"/>
      <c r="B867" s="4"/>
      <c r="C867" s="4"/>
      <c r="D867" s="4"/>
      <c r="E867" s="4"/>
      <c r="F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ht="13" x14ac:dyDescent="0.15">
      <c r="A868" s="4"/>
      <c r="B868" s="4"/>
      <c r="C868" s="4"/>
      <c r="D868" s="4"/>
      <c r="E868" s="4"/>
      <c r="F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ht="13" x14ac:dyDescent="0.15">
      <c r="A869" s="4"/>
      <c r="B869" s="4"/>
      <c r="C869" s="4"/>
      <c r="D869" s="4"/>
      <c r="E869" s="4"/>
      <c r="F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ht="13" x14ac:dyDescent="0.15">
      <c r="A870" s="4"/>
      <c r="B870" s="4"/>
      <c r="C870" s="4"/>
      <c r="D870" s="4"/>
      <c r="E870" s="4"/>
      <c r="F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ht="13" x14ac:dyDescent="0.15">
      <c r="A871" s="4"/>
      <c r="B871" s="4"/>
      <c r="C871" s="4"/>
      <c r="D871" s="4"/>
      <c r="E871" s="4"/>
      <c r="F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ht="13" x14ac:dyDescent="0.15">
      <c r="A872" s="4"/>
      <c r="B872" s="4"/>
      <c r="C872" s="4"/>
      <c r="D872" s="4"/>
      <c r="E872" s="4"/>
      <c r="F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ht="13" x14ac:dyDescent="0.15">
      <c r="A873" s="4"/>
      <c r="B873" s="4"/>
      <c r="C873" s="4"/>
      <c r="D873" s="4"/>
      <c r="E873" s="4"/>
      <c r="F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ht="13" x14ac:dyDescent="0.15">
      <c r="A874" s="4"/>
      <c r="B874" s="4"/>
      <c r="C874" s="4"/>
      <c r="D874" s="4"/>
      <c r="E874" s="4"/>
      <c r="F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ht="13" x14ac:dyDescent="0.15">
      <c r="A875" s="4"/>
      <c r="B875" s="4"/>
      <c r="C875" s="4"/>
      <c r="D875" s="4"/>
      <c r="E875" s="4"/>
      <c r="F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ht="13" x14ac:dyDescent="0.15">
      <c r="A876" s="4"/>
      <c r="B876" s="4"/>
      <c r="C876" s="4"/>
      <c r="D876" s="4"/>
      <c r="E876" s="4"/>
      <c r="F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ht="13" x14ac:dyDescent="0.15">
      <c r="A877" s="4"/>
      <c r="B877" s="4"/>
      <c r="C877" s="4"/>
      <c r="D877" s="4"/>
      <c r="E877" s="4"/>
      <c r="F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ht="13" x14ac:dyDescent="0.15">
      <c r="A878" s="4"/>
      <c r="B878" s="4"/>
      <c r="C878" s="4"/>
      <c r="D878" s="4"/>
      <c r="E878" s="4"/>
      <c r="F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ht="13" x14ac:dyDescent="0.15">
      <c r="A879" s="4"/>
      <c r="B879" s="4"/>
      <c r="C879" s="4"/>
      <c r="D879" s="4"/>
      <c r="E879" s="4"/>
      <c r="F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ht="13" x14ac:dyDescent="0.15">
      <c r="A880" s="4"/>
      <c r="B880" s="4"/>
      <c r="C880" s="4"/>
      <c r="D880" s="4"/>
      <c r="E880" s="4"/>
      <c r="F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ht="13" x14ac:dyDescent="0.15">
      <c r="A881" s="4"/>
      <c r="B881" s="4"/>
      <c r="C881" s="4"/>
      <c r="D881" s="4"/>
      <c r="E881" s="4"/>
      <c r="F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ht="13" x14ac:dyDescent="0.15">
      <c r="A882" s="4"/>
      <c r="B882" s="4"/>
      <c r="C882" s="4"/>
      <c r="D882" s="4"/>
      <c r="E882" s="4"/>
      <c r="F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ht="13" x14ac:dyDescent="0.15">
      <c r="A883" s="4"/>
      <c r="B883" s="4"/>
      <c r="C883" s="4"/>
      <c r="D883" s="4"/>
      <c r="E883" s="4"/>
      <c r="F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ht="13" x14ac:dyDescent="0.15">
      <c r="A884" s="4"/>
      <c r="B884" s="4"/>
      <c r="C884" s="4"/>
      <c r="D884" s="4"/>
      <c r="E884" s="4"/>
      <c r="F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ht="13" x14ac:dyDescent="0.15">
      <c r="A885" s="4"/>
      <c r="B885" s="4"/>
      <c r="C885" s="4"/>
      <c r="D885" s="4"/>
      <c r="E885" s="4"/>
      <c r="F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ht="13" x14ac:dyDescent="0.15">
      <c r="A886" s="4"/>
      <c r="B886" s="4"/>
      <c r="C886" s="4"/>
      <c r="D886" s="4"/>
      <c r="E886" s="4"/>
      <c r="F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ht="13" x14ac:dyDescent="0.15">
      <c r="A887" s="4"/>
      <c r="B887" s="4"/>
      <c r="C887" s="4"/>
      <c r="D887" s="4"/>
      <c r="E887" s="4"/>
      <c r="F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ht="13" x14ac:dyDescent="0.15">
      <c r="A888" s="4"/>
      <c r="B888" s="4"/>
      <c r="C888" s="4"/>
      <c r="D888" s="4"/>
      <c r="E888" s="4"/>
      <c r="F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ht="13" x14ac:dyDescent="0.15">
      <c r="A889" s="4"/>
      <c r="B889" s="4"/>
      <c r="C889" s="4"/>
      <c r="D889" s="4"/>
      <c r="E889" s="4"/>
      <c r="F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ht="13" x14ac:dyDescent="0.15">
      <c r="A890" s="4"/>
      <c r="B890" s="4"/>
      <c r="C890" s="4"/>
      <c r="D890" s="4"/>
      <c r="E890" s="4"/>
      <c r="F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ht="13" x14ac:dyDescent="0.15">
      <c r="A891" s="4"/>
      <c r="B891" s="4"/>
      <c r="C891" s="4"/>
      <c r="D891" s="4"/>
      <c r="E891" s="4"/>
      <c r="F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ht="13" x14ac:dyDescent="0.15">
      <c r="A892" s="4"/>
      <c r="B892" s="4"/>
      <c r="C892" s="4"/>
      <c r="D892" s="4"/>
      <c r="E892" s="4"/>
      <c r="F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ht="13" x14ac:dyDescent="0.15">
      <c r="A893" s="4"/>
      <c r="B893" s="4"/>
      <c r="C893" s="4"/>
      <c r="D893" s="4"/>
      <c r="E893" s="4"/>
      <c r="F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ht="13" x14ac:dyDescent="0.15">
      <c r="A894" s="4"/>
      <c r="B894" s="4"/>
      <c r="C894" s="4"/>
      <c r="D894" s="4"/>
      <c r="E894" s="4"/>
      <c r="F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ht="13" x14ac:dyDescent="0.15">
      <c r="A895" s="4"/>
      <c r="B895" s="4"/>
      <c r="C895" s="4"/>
      <c r="D895" s="4"/>
      <c r="E895" s="4"/>
      <c r="F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ht="13" x14ac:dyDescent="0.15">
      <c r="A896" s="4"/>
      <c r="B896" s="4"/>
      <c r="C896" s="4"/>
      <c r="D896" s="4"/>
      <c r="E896" s="4"/>
      <c r="F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ht="13" x14ac:dyDescent="0.15">
      <c r="A897" s="4"/>
      <c r="B897" s="4"/>
      <c r="C897" s="4"/>
      <c r="D897" s="4"/>
      <c r="E897" s="4"/>
      <c r="F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ht="13" x14ac:dyDescent="0.15">
      <c r="A898" s="4"/>
      <c r="B898" s="4"/>
      <c r="C898" s="4"/>
      <c r="D898" s="4"/>
      <c r="E898" s="4"/>
      <c r="F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ht="13" x14ac:dyDescent="0.15">
      <c r="A899" s="4"/>
      <c r="B899" s="4"/>
      <c r="C899" s="4"/>
      <c r="D899" s="4"/>
      <c r="E899" s="4"/>
      <c r="F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ht="13" x14ac:dyDescent="0.15">
      <c r="A900" s="4"/>
      <c r="B900" s="4"/>
      <c r="C900" s="4"/>
      <c r="D900" s="4"/>
      <c r="E900" s="4"/>
      <c r="F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ht="13" x14ac:dyDescent="0.15">
      <c r="A901" s="4"/>
      <c r="B901" s="4"/>
      <c r="C901" s="4"/>
      <c r="D901" s="4"/>
      <c r="E901" s="4"/>
      <c r="F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ht="13" x14ac:dyDescent="0.15">
      <c r="A902" s="4"/>
      <c r="B902" s="4"/>
      <c r="C902" s="4"/>
      <c r="D902" s="4"/>
      <c r="E902" s="4"/>
      <c r="F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ht="13" x14ac:dyDescent="0.15">
      <c r="A903" s="4"/>
      <c r="B903" s="4"/>
      <c r="C903" s="4"/>
      <c r="D903" s="4"/>
      <c r="E903" s="4"/>
      <c r="F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ht="13" x14ac:dyDescent="0.15">
      <c r="A904" s="4"/>
      <c r="B904" s="4"/>
      <c r="C904" s="4"/>
      <c r="D904" s="4"/>
      <c r="E904" s="4"/>
      <c r="F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ht="13" x14ac:dyDescent="0.15">
      <c r="A905" s="4"/>
      <c r="B905" s="4"/>
      <c r="C905" s="4"/>
      <c r="D905" s="4"/>
      <c r="E905" s="4"/>
      <c r="F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ht="13" x14ac:dyDescent="0.15">
      <c r="A906" s="4"/>
      <c r="B906" s="4"/>
      <c r="C906" s="4"/>
      <c r="D906" s="4"/>
      <c r="E906" s="4"/>
      <c r="F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ht="13" x14ac:dyDescent="0.15">
      <c r="A907" s="4"/>
      <c r="B907" s="4"/>
      <c r="C907" s="4"/>
      <c r="D907" s="4"/>
      <c r="E907" s="4"/>
      <c r="F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ht="13" x14ac:dyDescent="0.15">
      <c r="A908" s="4"/>
      <c r="B908" s="4"/>
      <c r="C908" s="4"/>
      <c r="D908" s="4"/>
      <c r="E908" s="4"/>
      <c r="F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ht="13" x14ac:dyDescent="0.15">
      <c r="A909" s="4"/>
      <c r="B909" s="4"/>
      <c r="C909" s="4"/>
      <c r="D909" s="4"/>
      <c r="E909" s="4"/>
      <c r="F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ht="13" x14ac:dyDescent="0.15">
      <c r="A910" s="4"/>
      <c r="B910" s="4"/>
      <c r="C910" s="4"/>
      <c r="D910" s="4"/>
      <c r="E910" s="4"/>
      <c r="F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ht="13" x14ac:dyDescent="0.15">
      <c r="A911" s="4"/>
      <c r="B911" s="4"/>
      <c r="C911" s="4"/>
      <c r="D911" s="4"/>
      <c r="E911" s="4"/>
      <c r="F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ht="13" x14ac:dyDescent="0.15">
      <c r="A912" s="4"/>
      <c r="B912" s="4"/>
      <c r="C912" s="4"/>
      <c r="D912" s="4"/>
      <c r="E912" s="4"/>
      <c r="F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ht="13" x14ac:dyDescent="0.15">
      <c r="A913" s="4"/>
      <c r="B913" s="4"/>
      <c r="C913" s="4"/>
      <c r="D913" s="4"/>
      <c r="E913" s="4"/>
      <c r="F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ht="13" x14ac:dyDescent="0.15">
      <c r="A914" s="4"/>
      <c r="B914" s="4"/>
      <c r="C914" s="4"/>
      <c r="D914" s="4"/>
      <c r="E914" s="4"/>
      <c r="F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ht="13" x14ac:dyDescent="0.15">
      <c r="A915" s="4"/>
      <c r="B915" s="4"/>
      <c r="C915" s="4"/>
      <c r="D915" s="4"/>
      <c r="E915" s="4"/>
      <c r="F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ht="13" x14ac:dyDescent="0.15">
      <c r="A916" s="4"/>
      <c r="B916" s="4"/>
      <c r="C916" s="4"/>
      <c r="D916" s="4"/>
      <c r="E916" s="4"/>
      <c r="F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ht="13" x14ac:dyDescent="0.15">
      <c r="A917" s="4"/>
      <c r="B917" s="4"/>
      <c r="C917" s="4"/>
      <c r="D917" s="4"/>
      <c r="E917" s="4"/>
      <c r="F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ht="13" x14ac:dyDescent="0.15">
      <c r="A918" s="4"/>
      <c r="B918" s="4"/>
      <c r="C918" s="4"/>
      <c r="D918" s="4"/>
      <c r="E918" s="4"/>
      <c r="F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ht="13" x14ac:dyDescent="0.15">
      <c r="A919" s="4"/>
      <c r="B919" s="4"/>
      <c r="C919" s="4"/>
      <c r="D919" s="4"/>
      <c r="E919" s="4"/>
      <c r="F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ht="13" x14ac:dyDescent="0.15">
      <c r="A920" s="4"/>
      <c r="B920" s="4"/>
      <c r="C920" s="4"/>
      <c r="D920" s="4"/>
      <c r="E920" s="4"/>
      <c r="F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ht="13" x14ac:dyDescent="0.15">
      <c r="A921" s="4"/>
      <c r="B921" s="4"/>
      <c r="C921" s="4"/>
      <c r="D921" s="4"/>
      <c r="E921" s="4"/>
      <c r="F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ht="13" x14ac:dyDescent="0.15">
      <c r="A922" s="4"/>
      <c r="B922" s="4"/>
      <c r="C922" s="4"/>
      <c r="D922" s="4"/>
      <c r="E922" s="4"/>
      <c r="F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ht="13" x14ac:dyDescent="0.15">
      <c r="A923" s="4"/>
      <c r="B923" s="4"/>
      <c r="C923" s="4"/>
      <c r="D923" s="4"/>
      <c r="E923" s="4"/>
      <c r="F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ht="13" x14ac:dyDescent="0.15">
      <c r="A924" s="4"/>
      <c r="B924" s="4"/>
      <c r="C924" s="4"/>
      <c r="D924" s="4"/>
      <c r="E924" s="4"/>
      <c r="F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ht="13" x14ac:dyDescent="0.15">
      <c r="A925" s="4"/>
      <c r="B925" s="4"/>
      <c r="C925" s="4"/>
      <c r="D925" s="4"/>
      <c r="E925" s="4"/>
      <c r="F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ht="13" x14ac:dyDescent="0.15">
      <c r="A926" s="4"/>
      <c r="B926" s="4"/>
      <c r="C926" s="4"/>
      <c r="D926" s="4"/>
      <c r="E926" s="4"/>
      <c r="F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ht="13" x14ac:dyDescent="0.15">
      <c r="A927" s="4"/>
      <c r="B927" s="4"/>
      <c r="C927" s="4"/>
      <c r="D927" s="4"/>
      <c r="E927" s="4"/>
      <c r="F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ht="13" x14ac:dyDescent="0.15">
      <c r="A928" s="4"/>
      <c r="B928" s="4"/>
      <c r="C928" s="4"/>
      <c r="D928" s="4"/>
      <c r="E928" s="4"/>
      <c r="F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ht="13" x14ac:dyDescent="0.15">
      <c r="A929" s="4"/>
      <c r="B929" s="4"/>
      <c r="C929" s="4"/>
      <c r="D929" s="4"/>
      <c r="E929" s="4"/>
      <c r="F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ht="13" x14ac:dyDescent="0.15">
      <c r="A930" s="4"/>
      <c r="B930" s="4"/>
      <c r="C930" s="4"/>
      <c r="D930" s="4"/>
      <c r="E930" s="4"/>
      <c r="F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ht="13" x14ac:dyDescent="0.15">
      <c r="A931" s="4"/>
      <c r="B931" s="4"/>
      <c r="C931" s="4"/>
      <c r="D931" s="4"/>
      <c r="E931" s="4"/>
      <c r="F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ht="13" x14ac:dyDescent="0.15">
      <c r="A932" s="4"/>
      <c r="B932" s="4"/>
      <c r="C932" s="4"/>
      <c r="D932" s="4"/>
      <c r="E932" s="4"/>
      <c r="F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ht="13" x14ac:dyDescent="0.15">
      <c r="A933" s="4"/>
      <c r="B933" s="4"/>
      <c r="C933" s="4"/>
      <c r="D933" s="4"/>
      <c r="E933" s="4"/>
      <c r="F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ht="13" x14ac:dyDescent="0.15">
      <c r="A934" s="4"/>
      <c r="B934" s="4"/>
      <c r="C934" s="4"/>
      <c r="D934" s="4"/>
      <c r="E934" s="4"/>
      <c r="F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ht="13" x14ac:dyDescent="0.15">
      <c r="A935" s="4"/>
      <c r="B935" s="4"/>
      <c r="C935" s="4"/>
      <c r="D935" s="4"/>
      <c r="E935" s="4"/>
      <c r="F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ht="13" x14ac:dyDescent="0.15">
      <c r="A936" s="4"/>
      <c r="B936" s="4"/>
      <c r="C936" s="4"/>
      <c r="D936" s="4"/>
      <c r="E936" s="4"/>
      <c r="F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ht="13" x14ac:dyDescent="0.15">
      <c r="A937" s="4"/>
      <c r="B937" s="4"/>
      <c r="C937" s="4"/>
      <c r="D937" s="4"/>
      <c r="E937" s="4"/>
      <c r="F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ht="13" x14ac:dyDescent="0.15">
      <c r="A938" s="4"/>
      <c r="B938" s="4"/>
      <c r="C938" s="4"/>
      <c r="D938" s="4"/>
      <c r="E938" s="4"/>
      <c r="F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ht="13" x14ac:dyDescent="0.15">
      <c r="A939" s="4"/>
      <c r="B939" s="4"/>
      <c r="C939" s="4"/>
      <c r="D939" s="4"/>
      <c r="E939" s="4"/>
      <c r="F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ht="13" x14ac:dyDescent="0.15">
      <c r="A940" s="4"/>
      <c r="B940" s="4"/>
      <c r="C940" s="4"/>
      <c r="D940" s="4"/>
      <c r="E940" s="4"/>
      <c r="F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ht="13" x14ac:dyDescent="0.15">
      <c r="A941" s="4"/>
      <c r="B941" s="4"/>
      <c r="C941" s="4"/>
      <c r="D941" s="4"/>
      <c r="E941" s="4"/>
      <c r="F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ht="13" x14ac:dyDescent="0.15">
      <c r="A942" s="4"/>
      <c r="B942" s="4"/>
      <c r="C942" s="4"/>
      <c r="D942" s="4"/>
      <c r="E942" s="4"/>
      <c r="F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ht="13" x14ac:dyDescent="0.15">
      <c r="A943" s="4"/>
      <c r="B943" s="4"/>
      <c r="C943" s="4"/>
      <c r="D943" s="4"/>
      <c r="E943" s="4"/>
      <c r="F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ht="13" x14ac:dyDescent="0.15">
      <c r="A944" s="4"/>
      <c r="B944" s="4"/>
      <c r="C944" s="4"/>
      <c r="D944" s="4"/>
      <c r="E944" s="4"/>
      <c r="F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ht="13" x14ac:dyDescent="0.15">
      <c r="A945" s="4"/>
      <c r="B945" s="4"/>
      <c r="C945" s="4"/>
      <c r="D945" s="4"/>
      <c r="E945" s="4"/>
      <c r="F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ht="13" x14ac:dyDescent="0.15">
      <c r="A946" s="4"/>
      <c r="B946" s="4"/>
      <c r="C946" s="4"/>
      <c r="D946" s="4"/>
      <c r="E946" s="4"/>
      <c r="F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ht="13" x14ac:dyDescent="0.15">
      <c r="A947" s="4"/>
      <c r="B947" s="4"/>
      <c r="C947" s="4"/>
      <c r="D947" s="4"/>
      <c r="E947" s="4"/>
      <c r="F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ht="13" x14ac:dyDescent="0.15">
      <c r="A948" s="4"/>
      <c r="B948" s="4"/>
      <c r="C948" s="4"/>
      <c r="D948" s="4"/>
      <c r="E948" s="4"/>
      <c r="F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ht="13" x14ac:dyDescent="0.15">
      <c r="A949" s="4"/>
      <c r="B949" s="4"/>
      <c r="C949" s="4"/>
      <c r="D949" s="4"/>
      <c r="E949" s="4"/>
      <c r="F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ht="13" x14ac:dyDescent="0.15">
      <c r="A950" s="4"/>
      <c r="B950" s="4"/>
      <c r="C950" s="4"/>
      <c r="D950" s="4"/>
      <c r="E950" s="4"/>
      <c r="F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ht="13" x14ac:dyDescent="0.15">
      <c r="A951" s="4"/>
      <c r="B951" s="4"/>
      <c r="C951" s="4"/>
      <c r="D951" s="4"/>
      <c r="E951" s="4"/>
      <c r="F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ht="13" x14ac:dyDescent="0.15">
      <c r="A952" s="4"/>
      <c r="B952" s="4"/>
      <c r="C952" s="4"/>
      <c r="D952" s="4"/>
      <c r="E952" s="4"/>
      <c r="F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ht="13" x14ac:dyDescent="0.15">
      <c r="A953" s="4"/>
      <c r="B953" s="4"/>
      <c r="C953" s="4"/>
      <c r="D953" s="4"/>
      <c r="E953" s="4"/>
      <c r="F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ht="13" x14ac:dyDescent="0.15">
      <c r="A954" s="4"/>
      <c r="B954" s="4"/>
      <c r="C954" s="4"/>
      <c r="D954" s="4"/>
      <c r="E954" s="4"/>
      <c r="F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ht="13" x14ac:dyDescent="0.15">
      <c r="A955" s="4"/>
      <c r="B955" s="4"/>
      <c r="C955" s="4"/>
      <c r="D955" s="4"/>
      <c r="E955" s="4"/>
      <c r="F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ht="13" x14ac:dyDescent="0.15">
      <c r="A956" s="4"/>
      <c r="B956" s="4"/>
      <c r="C956" s="4"/>
      <c r="D956" s="4"/>
      <c r="E956" s="4"/>
      <c r="F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ht="13" x14ac:dyDescent="0.15">
      <c r="A957" s="4"/>
      <c r="B957" s="4"/>
      <c r="C957" s="4"/>
      <c r="D957" s="4"/>
      <c r="E957" s="4"/>
      <c r="F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ht="13" x14ac:dyDescent="0.15">
      <c r="A958" s="4"/>
      <c r="B958" s="4"/>
      <c r="C958" s="4"/>
      <c r="D958" s="4"/>
      <c r="E958" s="4"/>
      <c r="F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ht="13" x14ac:dyDescent="0.15">
      <c r="A959" s="4"/>
      <c r="B959" s="4"/>
      <c r="C959" s="4"/>
      <c r="D959" s="4"/>
      <c r="E959" s="4"/>
      <c r="F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ht="13" x14ac:dyDescent="0.15">
      <c r="A960" s="4"/>
      <c r="B960" s="4"/>
      <c r="C960" s="4"/>
      <c r="D960" s="4"/>
      <c r="E960" s="4"/>
      <c r="F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ht="13" x14ac:dyDescent="0.15">
      <c r="A961" s="4"/>
      <c r="B961" s="4"/>
      <c r="C961" s="4"/>
      <c r="D961" s="4"/>
      <c r="E961" s="4"/>
      <c r="F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ht="13" x14ac:dyDescent="0.15">
      <c r="A962" s="4"/>
      <c r="B962" s="4"/>
      <c r="C962" s="4"/>
      <c r="D962" s="4"/>
      <c r="E962" s="4"/>
      <c r="F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ht="13" x14ac:dyDescent="0.15">
      <c r="A963" s="4"/>
      <c r="B963" s="4"/>
      <c r="C963" s="4"/>
      <c r="D963" s="4"/>
      <c r="E963" s="4"/>
      <c r="F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ht="13" x14ac:dyDescent="0.15">
      <c r="A964" s="4"/>
      <c r="B964" s="4"/>
      <c r="C964" s="4"/>
      <c r="D964" s="4"/>
      <c r="E964" s="4"/>
      <c r="F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ht="13" x14ac:dyDescent="0.15">
      <c r="A965" s="4"/>
      <c r="B965" s="4"/>
      <c r="C965" s="4"/>
      <c r="D965" s="4"/>
      <c r="E965" s="4"/>
      <c r="F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ht="13" x14ac:dyDescent="0.15">
      <c r="A966" s="4"/>
      <c r="B966" s="4"/>
      <c r="C966" s="4"/>
      <c r="D966" s="4"/>
      <c r="E966" s="4"/>
      <c r="F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ht="13" x14ac:dyDescent="0.15">
      <c r="A967" s="4"/>
      <c r="B967" s="4"/>
      <c r="C967" s="4"/>
      <c r="D967" s="4"/>
      <c r="E967" s="4"/>
      <c r="F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ht="13" x14ac:dyDescent="0.15">
      <c r="A968" s="4"/>
      <c r="B968" s="4"/>
      <c r="C968" s="4"/>
      <c r="D968" s="4"/>
      <c r="E968" s="4"/>
      <c r="F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ht="13" x14ac:dyDescent="0.15">
      <c r="A969" s="4"/>
      <c r="B969" s="4"/>
      <c r="C969" s="4"/>
      <c r="D969" s="4"/>
      <c r="E969" s="4"/>
      <c r="F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ht="13" x14ac:dyDescent="0.15">
      <c r="A970" s="4"/>
      <c r="B970" s="4"/>
      <c r="C970" s="4"/>
      <c r="D970" s="4"/>
      <c r="E970" s="4"/>
      <c r="F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ht="13" x14ac:dyDescent="0.15">
      <c r="A971" s="4"/>
      <c r="B971" s="4"/>
      <c r="C971" s="4"/>
      <c r="D971" s="4"/>
      <c r="E971" s="4"/>
      <c r="F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ht="13" x14ac:dyDescent="0.15">
      <c r="A972" s="4"/>
      <c r="B972" s="4"/>
      <c r="C972" s="4"/>
      <c r="D972" s="4"/>
      <c r="E972" s="4"/>
      <c r="F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ht="13" x14ac:dyDescent="0.15">
      <c r="A973" s="4"/>
      <c r="B973" s="4"/>
      <c r="C973" s="4"/>
      <c r="D973" s="4"/>
      <c r="E973" s="4"/>
      <c r="F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ht="13" x14ac:dyDescent="0.15">
      <c r="A974" s="4"/>
      <c r="B974" s="4"/>
      <c r="C974" s="4"/>
      <c r="D974" s="4"/>
      <c r="E974" s="4"/>
      <c r="F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ht="13" x14ac:dyDescent="0.15">
      <c r="A975" s="4"/>
      <c r="B975" s="4"/>
      <c r="C975" s="4"/>
      <c r="D975" s="4"/>
      <c r="E975" s="4"/>
      <c r="F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ht="13" x14ac:dyDescent="0.15">
      <c r="A976" s="4"/>
      <c r="B976" s="4"/>
      <c r="C976" s="4"/>
      <c r="D976" s="4"/>
      <c r="E976" s="4"/>
      <c r="F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ht="13" x14ac:dyDescent="0.15">
      <c r="A977" s="4"/>
      <c r="B977" s="4"/>
      <c r="C977" s="4"/>
      <c r="D977" s="4"/>
      <c r="E977" s="4"/>
      <c r="F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ht="13" x14ac:dyDescent="0.15">
      <c r="A978" s="4"/>
      <c r="B978" s="4"/>
      <c r="C978" s="4"/>
      <c r="D978" s="4"/>
      <c r="E978" s="4"/>
      <c r="F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ht="13" x14ac:dyDescent="0.15">
      <c r="A979" s="4"/>
      <c r="B979" s="4"/>
      <c r="C979" s="4"/>
      <c r="D979" s="4"/>
      <c r="E979" s="4"/>
      <c r="F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ht="13" x14ac:dyDescent="0.15">
      <c r="A980" s="4"/>
      <c r="B980" s="4"/>
      <c r="C980" s="4"/>
      <c r="D980" s="4"/>
      <c r="E980" s="4"/>
      <c r="F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ht="13" x14ac:dyDescent="0.15">
      <c r="A981" s="4"/>
      <c r="B981" s="4"/>
      <c r="C981" s="4"/>
      <c r="D981" s="4"/>
      <c r="E981" s="4"/>
      <c r="F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ht="13" x14ac:dyDescent="0.15">
      <c r="A982" s="4"/>
      <c r="B982" s="4"/>
      <c r="C982" s="4"/>
      <c r="D982" s="4"/>
      <c r="E982" s="4"/>
      <c r="F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ht="13" x14ac:dyDescent="0.15">
      <c r="A983" s="4"/>
      <c r="B983" s="4"/>
      <c r="C983" s="4"/>
      <c r="D983" s="4"/>
      <c r="E983" s="4"/>
      <c r="F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ht="13" x14ac:dyDescent="0.15">
      <c r="A984" s="4"/>
      <c r="B984" s="4"/>
      <c r="C984" s="4"/>
      <c r="D984" s="4"/>
      <c r="E984" s="4"/>
      <c r="F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 ht="13" x14ac:dyDescent="0.15">
      <c r="A985" s="4"/>
      <c r="B985" s="4"/>
      <c r="C985" s="4"/>
      <c r="D985" s="4"/>
      <c r="E985" s="4"/>
      <c r="F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 ht="13" x14ac:dyDescent="0.15">
      <c r="A986" s="4"/>
      <c r="B986" s="4"/>
      <c r="C986" s="4"/>
      <c r="D986" s="4"/>
      <c r="E986" s="4"/>
      <c r="F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 ht="13" x14ac:dyDescent="0.15">
      <c r="A987" s="4"/>
      <c r="B987" s="4"/>
      <c r="C987" s="4"/>
      <c r="D987" s="4"/>
      <c r="E987" s="4"/>
      <c r="F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 ht="13" x14ac:dyDescent="0.15">
      <c r="A988" s="4"/>
      <c r="B988" s="4"/>
      <c r="C988" s="4"/>
      <c r="D988" s="4"/>
      <c r="E988" s="4"/>
      <c r="F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 ht="13" x14ac:dyDescent="0.15">
      <c r="A989" s="4"/>
      <c r="B989" s="4"/>
      <c r="C989" s="4"/>
      <c r="D989" s="4"/>
      <c r="E989" s="4"/>
      <c r="F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 ht="13" x14ac:dyDescent="0.15">
      <c r="A990" s="4"/>
      <c r="B990" s="4"/>
      <c r="C990" s="4"/>
      <c r="D990" s="4"/>
      <c r="E990" s="4"/>
      <c r="F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 ht="13" x14ac:dyDescent="0.15">
      <c r="A991" s="4"/>
      <c r="B991" s="4"/>
      <c r="C991" s="4"/>
      <c r="D991" s="4"/>
      <c r="E991" s="4"/>
      <c r="F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 ht="13" x14ac:dyDescent="0.15">
      <c r="A992" s="4"/>
      <c r="B992" s="4"/>
      <c r="C992" s="4"/>
      <c r="D992" s="4"/>
      <c r="E992" s="4"/>
      <c r="F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 ht="13" x14ac:dyDescent="0.15">
      <c r="A993" s="4"/>
      <c r="B993" s="4"/>
      <c r="C993" s="4"/>
      <c r="D993" s="4"/>
      <c r="E993" s="4"/>
      <c r="F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 ht="13" x14ac:dyDescent="0.15">
      <c r="A994" s="4"/>
      <c r="B994" s="4"/>
      <c r="C994" s="4"/>
      <c r="D994" s="4"/>
      <c r="E994" s="4"/>
      <c r="F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 ht="13" x14ac:dyDescent="0.15">
      <c r="A995" s="4"/>
      <c r="B995" s="4"/>
      <c r="C995" s="4"/>
      <c r="D995" s="4"/>
      <c r="E995" s="4"/>
      <c r="F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 ht="13" x14ac:dyDescent="0.15">
      <c r="A996" s="4"/>
      <c r="B996" s="4"/>
      <c r="C996" s="4"/>
      <c r="D996" s="4"/>
      <c r="E996" s="4"/>
      <c r="F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 ht="13" x14ac:dyDescent="0.15">
      <c r="A997" s="4"/>
      <c r="B997" s="4"/>
      <c r="C997" s="4"/>
      <c r="D997" s="4"/>
      <c r="E997" s="4"/>
      <c r="F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 ht="13" x14ac:dyDescent="0.15">
      <c r="A998" s="4"/>
      <c r="B998" s="4"/>
      <c r="C998" s="4"/>
      <c r="D998" s="4"/>
      <c r="E998" s="4"/>
      <c r="F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1:21" ht="13" x14ac:dyDescent="0.15">
      <c r="A999" s="4"/>
      <c r="B999" s="4"/>
      <c r="C999" s="4"/>
      <c r="D999" s="4"/>
      <c r="E999" s="4"/>
      <c r="F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1:21" ht="13" x14ac:dyDescent="0.15">
      <c r="A1000" s="4"/>
      <c r="B1000" s="4"/>
      <c r="C1000" s="4"/>
      <c r="D1000" s="4"/>
      <c r="E1000" s="4"/>
      <c r="F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 spans="1:21" ht="13" x14ac:dyDescent="0.15">
      <c r="A1001" s="4"/>
      <c r="B1001" s="4"/>
      <c r="C1001" s="4"/>
      <c r="D1001" s="4"/>
      <c r="E1001" s="4"/>
      <c r="F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 spans="1:21" ht="13" x14ac:dyDescent="0.15">
      <c r="A1002" s="4"/>
      <c r="B1002" s="4"/>
      <c r="C1002" s="4"/>
      <c r="D1002" s="4"/>
      <c r="E1002" s="4"/>
      <c r="F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 spans="1:21" ht="13" x14ac:dyDescent="0.15">
      <c r="A1003" s="4"/>
      <c r="B1003" s="4"/>
      <c r="C1003" s="4"/>
      <c r="D1003" s="4"/>
      <c r="E1003" s="4"/>
      <c r="F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 spans="1:21" ht="13" x14ac:dyDescent="0.15">
      <c r="A1004" s="4"/>
      <c r="B1004" s="4"/>
      <c r="C1004" s="4"/>
      <c r="D1004" s="4"/>
      <c r="E1004" s="4"/>
      <c r="F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 spans="1:21" ht="13" x14ac:dyDescent="0.15">
      <c r="A1005" s="4"/>
      <c r="B1005" s="4"/>
      <c r="C1005" s="4"/>
      <c r="D1005" s="4"/>
      <c r="E1005" s="4"/>
      <c r="F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 spans="1:21" ht="13" x14ac:dyDescent="0.15">
      <c r="A1006" s="4"/>
      <c r="B1006" s="4"/>
      <c r="C1006" s="4"/>
      <c r="D1006" s="4"/>
      <c r="E1006" s="4"/>
      <c r="F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 spans="1:21" ht="13" x14ac:dyDescent="0.15">
      <c r="A1007" s="4"/>
      <c r="B1007" s="4"/>
      <c r="C1007" s="4"/>
      <c r="D1007" s="4"/>
      <c r="E1007" s="4"/>
      <c r="F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 spans="1:21" ht="13" x14ac:dyDescent="0.15">
      <c r="A1008" s="4"/>
      <c r="B1008" s="4"/>
      <c r="C1008" s="4"/>
      <c r="D1008" s="4"/>
      <c r="E1008" s="4"/>
      <c r="F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 spans="1:21" ht="13" x14ac:dyDescent="0.15">
      <c r="A1009" s="4"/>
      <c r="B1009" s="4"/>
      <c r="C1009" s="4"/>
      <c r="D1009" s="4"/>
      <c r="E1009" s="4"/>
      <c r="F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 spans="1:21" ht="13" x14ac:dyDescent="0.15">
      <c r="A1010" s="4"/>
      <c r="B1010" s="4"/>
      <c r="C1010" s="4"/>
      <c r="D1010" s="4"/>
      <c r="E1010" s="4"/>
      <c r="F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 spans="1:21" ht="13" x14ac:dyDescent="0.15">
      <c r="A1011" s="4"/>
      <c r="B1011" s="4"/>
      <c r="C1011" s="4"/>
      <c r="D1011" s="4"/>
      <c r="E1011" s="4"/>
      <c r="F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 spans="1:21" ht="13" x14ac:dyDescent="0.15">
      <c r="A1012" s="4"/>
      <c r="B1012" s="4"/>
      <c r="C1012" s="4"/>
      <c r="D1012" s="4"/>
      <c r="E1012" s="4"/>
      <c r="F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 spans="1:21" ht="13" x14ac:dyDescent="0.15">
      <c r="A1013" s="4"/>
      <c r="B1013" s="4"/>
      <c r="C1013" s="4"/>
      <c r="D1013" s="4"/>
      <c r="E1013" s="4"/>
      <c r="F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  <row r="1014" spans="1:21" ht="13" x14ac:dyDescent="0.15">
      <c r="A1014" s="4"/>
      <c r="B1014" s="4"/>
      <c r="C1014" s="4"/>
      <c r="D1014" s="4"/>
      <c r="E1014" s="4"/>
      <c r="F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</row>
    <row r="1015" spans="1:21" ht="13" x14ac:dyDescent="0.15">
      <c r="A1015" s="4"/>
      <c r="B1015" s="4"/>
      <c r="C1015" s="4"/>
      <c r="D1015" s="4"/>
      <c r="E1015" s="4"/>
      <c r="F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</row>
    <row r="1016" spans="1:21" ht="13" x14ac:dyDescent="0.15">
      <c r="A1016" s="4"/>
      <c r="B1016" s="4"/>
      <c r="C1016" s="4"/>
      <c r="D1016" s="4"/>
      <c r="E1016" s="4"/>
      <c r="F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</row>
    <row r="1017" spans="1:21" ht="13" x14ac:dyDescent="0.15">
      <c r="A1017" s="4"/>
      <c r="B1017" s="4"/>
      <c r="C1017" s="4"/>
      <c r="D1017" s="4"/>
      <c r="E1017" s="4"/>
      <c r="F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</row>
    <row r="1018" spans="1:21" ht="13" x14ac:dyDescent="0.15">
      <c r="A1018" s="4"/>
      <c r="B1018" s="4"/>
      <c r="C1018" s="4"/>
      <c r="D1018" s="4"/>
      <c r="E1018" s="4"/>
      <c r="F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</row>
    <row r="1019" spans="1:21" ht="13" x14ac:dyDescent="0.15">
      <c r="A1019" s="4"/>
      <c r="B1019" s="4"/>
      <c r="C1019" s="4"/>
      <c r="D1019" s="4"/>
      <c r="E1019" s="4"/>
      <c r="F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</row>
    <row r="1020" spans="1:21" ht="13" x14ac:dyDescent="0.15">
      <c r="A1020" s="4"/>
      <c r="B1020" s="4"/>
      <c r="C1020" s="4"/>
      <c r="D1020" s="4"/>
      <c r="E1020" s="4"/>
      <c r="F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</row>
    <row r="1021" spans="1:21" ht="13" x14ac:dyDescent="0.15">
      <c r="A1021" s="4"/>
      <c r="B1021" s="4"/>
      <c r="C1021" s="4"/>
      <c r="D1021" s="4"/>
      <c r="E1021" s="4"/>
      <c r="F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</row>
    <row r="1022" spans="1:21" ht="13" x14ac:dyDescent="0.15">
      <c r="A1022" s="4"/>
      <c r="B1022" s="4"/>
      <c r="C1022" s="4"/>
      <c r="D1022" s="4"/>
      <c r="E1022" s="4"/>
      <c r="F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</row>
    <row r="1023" spans="1:21" ht="13" x14ac:dyDescent="0.15">
      <c r="A1023" s="4"/>
      <c r="B1023" s="4"/>
      <c r="C1023" s="4"/>
      <c r="D1023" s="4"/>
      <c r="E1023" s="4"/>
      <c r="F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</row>
    <row r="1024" spans="1:21" ht="13" x14ac:dyDescent="0.15">
      <c r="A1024" s="4"/>
      <c r="B1024" s="4"/>
      <c r="C1024" s="4"/>
      <c r="D1024" s="4"/>
      <c r="E1024" s="4"/>
      <c r="F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</row>
    <row r="1025" spans="1:21" ht="13" x14ac:dyDescent="0.15">
      <c r="A1025" s="4"/>
      <c r="B1025" s="4"/>
      <c r="C1025" s="4"/>
      <c r="D1025" s="4"/>
      <c r="E1025" s="4"/>
      <c r="F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</row>
    <row r="1026" spans="1:21" ht="13" x14ac:dyDescent="0.15">
      <c r="A1026" s="4"/>
      <c r="B1026" s="4"/>
      <c r="C1026" s="4"/>
      <c r="D1026" s="4"/>
      <c r="E1026" s="4"/>
      <c r="F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</row>
    <row r="1027" spans="1:21" ht="13" x14ac:dyDescent="0.15">
      <c r="A1027" s="4"/>
      <c r="B1027" s="4"/>
      <c r="C1027" s="4"/>
      <c r="D1027" s="4"/>
      <c r="E1027" s="4"/>
      <c r="F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</row>
    <row r="1028" spans="1:21" ht="13" x14ac:dyDescent="0.15">
      <c r="A1028" s="4"/>
      <c r="B1028" s="4"/>
      <c r="C1028" s="4"/>
      <c r="D1028" s="4"/>
      <c r="E1028" s="4"/>
      <c r="F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</row>
    <row r="1029" spans="1:21" ht="13" x14ac:dyDescent="0.15">
      <c r="A1029" s="4"/>
      <c r="B1029" s="4"/>
      <c r="C1029" s="4"/>
      <c r="D1029" s="4"/>
      <c r="E1029" s="4"/>
      <c r="F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</row>
    <row r="1030" spans="1:21" ht="13" x14ac:dyDescent="0.15">
      <c r="A1030" s="4"/>
      <c r="B1030" s="4"/>
      <c r="C1030" s="4"/>
      <c r="D1030" s="4"/>
      <c r="E1030" s="4"/>
      <c r="F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</row>
    <row r="1031" spans="1:21" ht="13" x14ac:dyDescent="0.15">
      <c r="A1031" s="4"/>
      <c r="B1031" s="4"/>
      <c r="C1031" s="4"/>
      <c r="D1031" s="4"/>
      <c r="E1031" s="4"/>
      <c r="F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</row>
    <row r="1032" spans="1:21" ht="13" x14ac:dyDescent="0.15">
      <c r="A1032" s="4"/>
      <c r="B1032" s="4"/>
      <c r="C1032" s="4"/>
      <c r="D1032" s="4"/>
      <c r="E1032" s="4"/>
      <c r="F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</row>
    <row r="1033" spans="1:21" ht="13" x14ac:dyDescent="0.15">
      <c r="A1033" s="4"/>
      <c r="B1033" s="4"/>
      <c r="C1033" s="4"/>
      <c r="D1033" s="4"/>
      <c r="E1033" s="4"/>
      <c r="F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</row>
    <row r="1034" spans="1:21" ht="13" x14ac:dyDescent="0.15">
      <c r="A1034" s="4"/>
      <c r="B1034" s="4"/>
      <c r="C1034" s="4"/>
      <c r="D1034" s="4"/>
      <c r="E1034" s="4"/>
      <c r="F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</row>
    <row r="1035" spans="1:21" ht="13" x14ac:dyDescent="0.15">
      <c r="A1035" s="4"/>
      <c r="B1035" s="4"/>
      <c r="C1035" s="4"/>
      <c r="D1035" s="4"/>
      <c r="E1035" s="4"/>
      <c r="F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</row>
    <row r="1036" spans="1:21" ht="13" x14ac:dyDescent="0.15">
      <c r="A1036" s="4"/>
      <c r="B1036" s="4"/>
      <c r="C1036" s="4"/>
      <c r="D1036" s="4"/>
      <c r="E1036" s="4"/>
      <c r="F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</row>
    <row r="1037" spans="1:21" ht="13" x14ac:dyDescent="0.15">
      <c r="A1037" s="4"/>
      <c r="B1037" s="4"/>
      <c r="C1037" s="4"/>
      <c r="D1037" s="4"/>
      <c r="E1037" s="4"/>
      <c r="F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</row>
    <row r="1038" spans="1:21" ht="13" x14ac:dyDescent="0.15">
      <c r="A1038" s="4"/>
      <c r="B1038" s="4"/>
      <c r="C1038" s="4"/>
      <c r="D1038" s="4"/>
      <c r="E1038" s="4"/>
      <c r="F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</row>
    <row r="1039" spans="1:21" ht="13" x14ac:dyDescent="0.15">
      <c r="A1039" s="4"/>
      <c r="B1039" s="4"/>
      <c r="C1039" s="4"/>
      <c r="D1039" s="4"/>
      <c r="E1039" s="4"/>
      <c r="F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</row>
    <row r="1040" spans="1:21" ht="13" x14ac:dyDescent="0.15">
      <c r="A1040" s="4"/>
      <c r="B1040" s="4"/>
      <c r="C1040" s="4"/>
      <c r="D1040" s="4"/>
      <c r="E1040" s="4"/>
      <c r="F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</row>
    <row r="1041" spans="1:21" ht="13" x14ac:dyDescent="0.15">
      <c r="A1041" s="4"/>
      <c r="B1041" s="4"/>
      <c r="C1041" s="4"/>
      <c r="D1041" s="4"/>
      <c r="E1041" s="4"/>
      <c r="F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</row>
    <row r="1042" spans="1:21" ht="13" x14ac:dyDescent="0.15">
      <c r="A1042" s="4"/>
      <c r="B1042" s="4"/>
      <c r="C1042" s="4"/>
      <c r="D1042" s="4"/>
      <c r="E1042" s="4"/>
      <c r="F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</row>
    <row r="1043" spans="1:21" ht="13" x14ac:dyDescent="0.15">
      <c r="A1043" s="4"/>
      <c r="B1043" s="4"/>
      <c r="C1043" s="4"/>
      <c r="D1043" s="4"/>
      <c r="E1043" s="4"/>
      <c r="F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</row>
    <row r="1044" spans="1:21" ht="13" x14ac:dyDescent="0.15">
      <c r="A1044" s="4"/>
      <c r="B1044" s="4"/>
      <c r="C1044" s="4"/>
      <c r="D1044" s="4"/>
      <c r="E1044" s="4"/>
      <c r="F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</row>
    <row r="1045" spans="1:21" ht="13" x14ac:dyDescent="0.15">
      <c r="A1045" s="4"/>
      <c r="B1045" s="4"/>
      <c r="C1045" s="4"/>
      <c r="D1045" s="4"/>
      <c r="E1045" s="4"/>
      <c r="F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</row>
    <row r="1046" spans="1:21" ht="13" x14ac:dyDescent="0.15">
      <c r="A1046" s="4"/>
      <c r="B1046" s="4"/>
      <c r="C1046" s="4"/>
      <c r="D1046" s="4"/>
      <c r="E1046" s="4"/>
      <c r="F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</row>
    <row r="1047" spans="1:21" ht="13" x14ac:dyDescent="0.15">
      <c r="A1047" s="4"/>
      <c r="B1047" s="4"/>
      <c r="C1047" s="4"/>
      <c r="D1047" s="4"/>
      <c r="E1047" s="4"/>
      <c r="F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</row>
    <row r="1048" spans="1:21" ht="13" x14ac:dyDescent="0.15">
      <c r="A1048" s="4"/>
      <c r="B1048" s="4"/>
      <c r="C1048" s="4"/>
      <c r="D1048" s="4"/>
      <c r="E1048" s="4"/>
      <c r="F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</row>
    <row r="1049" spans="1:21" ht="13" x14ac:dyDescent="0.15">
      <c r="A1049" s="4"/>
      <c r="B1049" s="4"/>
      <c r="C1049" s="4"/>
      <c r="D1049" s="4"/>
      <c r="E1049" s="4"/>
      <c r="F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</row>
    <row r="1050" spans="1:21" ht="13" x14ac:dyDescent="0.15">
      <c r="A1050" s="4"/>
      <c r="B1050" s="4"/>
      <c r="C1050" s="4"/>
      <c r="D1050" s="4"/>
      <c r="E1050" s="4"/>
      <c r="F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</row>
    <row r="1051" spans="1:21" ht="13" x14ac:dyDescent="0.15">
      <c r="A1051" s="4"/>
      <c r="B1051" s="4"/>
      <c r="C1051" s="4"/>
      <c r="D1051" s="4"/>
      <c r="E1051" s="4"/>
      <c r="F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</row>
    <row r="1052" spans="1:21" ht="13" x14ac:dyDescent="0.15">
      <c r="A1052" s="4"/>
      <c r="B1052" s="4"/>
      <c r="C1052" s="4"/>
      <c r="D1052" s="4"/>
      <c r="E1052" s="4"/>
      <c r="F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</row>
    <row r="1053" spans="1:21" ht="13" x14ac:dyDescent="0.15">
      <c r="A1053" s="4"/>
      <c r="B1053" s="4"/>
      <c r="C1053" s="4"/>
      <c r="D1053" s="4"/>
      <c r="E1053" s="4"/>
      <c r="F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</row>
    <row r="1054" spans="1:21" ht="13" x14ac:dyDescent="0.15">
      <c r="A1054" s="4"/>
      <c r="B1054" s="4"/>
      <c r="C1054" s="4"/>
      <c r="D1054" s="4"/>
      <c r="E1054" s="4"/>
      <c r="F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</row>
    <row r="1055" spans="1:21" ht="13" x14ac:dyDescent="0.15">
      <c r="A1055" s="4"/>
      <c r="B1055" s="4"/>
      <c r="C1055" s="4"/>
      <c r="D1055" s="4"/>
      <c r="E1055" s="4"/>
      <c r="F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</row>
    <row r="1056" spans="1:21" ht="13" x14ac:dyDescent="0.15">
      <c r="A1056" s="4"/>
      <c r="B1056" s="4"/>
      <c r="C1056" s="4"/>
      <c r="D1056" s="4"/>
      <c r="E1056" s="4"/>
      <c r="F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</row>
    <row r="1057" spans="1:21" ht="13" x14ac:dyDescent="0.15">
      <c r="A1057" s="4"/>
      <c r="B1057" s="4"/>
      <c r="C1057" s="4"/>
      <c r="D1057" s="4"/>
      <c r="E1057" s="4"/>
      <c r="F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</row>
    <row r="1058" spans="1:21" ht="13" x14ac:dyDescent="0.15">
      <c r="A1058" s="4"/>
      <c r="B1058" s="4"/>
      <c r="C1058" s="4"/>
      <c r="D1058" s="4"/>
      <c r="E1058" s="4"/>
      <c r="F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</row>
    <row r="1059" spans="1:21" ht="13" x14ac:dyDescent="0.15">
      <c r="A1059" s="4"/>
      <c r="B1059" s="4"/>
      <c r="C1059" s="4"/>
      <c r="D1059" s="4"/>
      <c r="E1059" s="4"/>
      <c r="F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</row>
    <row r="1060" spans="1:21" ht="13" x14ac:dyDescent="0.15">
      <c r="A1060" s="4"/>
      <c r="B1060" s="4"/>
      <c r="C1060" s="4"/>
      <c r="D1060" s="4"/>
      <c r="E1060" s="4"/>
      <c r="F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</row>
    <row r="1061" spans="1:21" ht="13" x14ac:dyDescent="0.15">
      <c r="A1061" s="4"/>
      <c r="B1061" s="4"/>
      <c r="C1061" s="4"/>
      <c r="D1061" s="4"/>
      <c r="E1061" s="4"/>
      <c r="F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</row>
    <row r="1062" spans="1:21" ht="13" x14ac:dyDescent="0.15">
      <c r="A1062" s="4"/>
      <c r="B1062" s="4"/>
      <c r="C1062" s="4"/>
      <c r="D1062" s="4"/>
      <c r="E1062" s="4"/>
      <c r="F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</row>
    <row r="1063" spans="1:21" ht="13" x14ac:dyDescent="0.15">
      <c r="A1063" s="4"/>
      <c r="B1063" s="4"/>
      <c r="C1063" s="4"/>
      <c r="D1063" s="4"/>
      <c r="E1063" s="4"/>
      <c r="F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</row>
    <row r="1064" spans="1:21" ht="13" x14ac:dyDescent="0.15">
      <c r="A1064" s="4"/>
      <c r="B1064" s="4"/>
      <c r="C1064" s="4"/>
      <c r="D1064" s="4"/>
      <c r="E1064" s="4"/>
      <c r="F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</row>
    <row r="1065" spans="1:21" ht="13" x14ac:dyDescent="0.15">
      <c r="A1065" s="4"/>
      <c r="B1065" s="4"/>
      <c r="C1065" s="4"/>
      <c r="D1065" s="4"/>
      <c r="E1065" s="4"/>
      <c r="F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</row>
    <row r="1066" spans="1:21" ht="13" x14ac:dyDescent="0.15">
      <c r="A1066" s="4"/>
      <c r="B1066" s="4"/>
      <c r="C1066" s="4"/>
      <c r="D1066" s="4"/>
      <c r="E1066" s="4"/>
      <c r="F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</row>
    <row r="1067" spans="1:21" ht="13" x14ac:dyDescent="0.15">
      <c r="A1067" s="4"/>
      <c r="B1067" s="4"/>
      <c r="C1067" s="4"/>
      <c r="D1067" s="4"/>
      <c r="E1067" s="4"/>
      <c r="F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</row>
    <row r="1068" spans="1:21" ht="13" x14ac:dyDescent="0.15">
      <c r="A1068" s="4"/>
      <c r="B1068" s="4"/>
      <c r="C1068" s="4"/>
      <c r="D1068" s="4"/>
      <c r="E1068" s="4"/>
      <c r="F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</row>
    <row r="1069" spans="1:21" ht="13" x14ac:dyDescent="0.15">
      <c r="A1069" s="4"/>
      <c r="B1069" s="4"/>
      <c r="C1069" s="4"/>
      <c r="D1069" s="4"/>
      <c r="E1069" s="4"/>
      <c r="F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</row>
    <row r="1070" spans="1:21" ht="13" x14ac:dyDescent="0.15">
      <c r="A1070" s="4"/>
      <c r="B1070" s="4"/>
      <c r="C1070" s="4"/>
      <c r="D1070" s="4"/>
      <c r="E1070" s="4"/>
      <c r="F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</row>
    <row r="1071" spans="1:21" ht="13" x14ac:dyDescent="0.15">
      <c r="A1071" s="4"/>
      <c r="B1071" s="4"/>
      <c r="C1071" s="4"/>
      <c r="D1071" s="4"/>
      <c r="E1071" s="4"/>
      <c r="F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</row>
    <row r="1072" spans="1:21" ht="13" x14ac:dyDescent="0.15">
      <c r="A1072" s="4"/>
      <c r="B1072" s="4"/>
      <c r="C1072" s="4"/>
      <c r="D1072" s="4"/>
      <c r="E1072" s="4"/>
      <c r="F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</row>
    <row r="1073" spans="1:21" ht="13" x14ac:dyDescent="0.15">
      <c r="A1073" s="4"/>
      <c r="B1073" s="4"/>
      <c r="C1073" s="4"/>
      <c r="D1073" s="4"/>
      <c r="E1073" s="4"/>
      <c r="F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</row>
    <row r="1074" spans="1:21" ht="13" x14ac:dyDescent="0.15">
      <c r="A1074" s="4"/>
      <c r="B1074" s="4"/>
      <c r="C1074" s="4"/>
      <c r="D1074" s="4"/>
      <c r="E1074" s="4"/>
      <c r="F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</row>
    <row r="1075" spans="1:21" ht="13" x14ac:dyDescent="0.15">
      <c r="A1075" s="4"/>
      <c r="B1075" s="4"/>
      <c r="C1075" s="4"/>
      <c r="D1075" s="4"/>
      <c r="E1075" s="4"/>
      <c r="F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</row>
    <row r="1076" spans="1:21" ht="13" x14ac:dyDescent="0.15">
      <c r="A1076" s="4"/>
      <c r="B1076" s="4"/>
      <c r="C1076" s="4"/>
      <c r="D1076" s="4"/>
      <c r="E1076" s="4"/>
      <c r="F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</row>
    <row r="1077" spans="1:21" ht="13" x14ac:dyDescent="0.15">
      <c r="A1077" s="4"/>
      <c r="B1077" s="4"/>
      <c r="C1077" s="4"/>
      <c r="D1077" s="4"/>
      <c r="E1077" s="4"/>
      <c r="F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</row>
    <row r="1078" spans="1:21" ht="13" x14ac:dyDescent="0.15">
      <c r="A1078" s="4"/>
      <c r="B1078" s="4"/>
      <c r="C1078" s="4"/>
      <c r="D1078" s="4"/>
      <c r="E1078" s="4"/>
      <c r="F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</row>
    <row r="1079" spans="1:21" ht="13" x14ac:dyDescent="0.15">
      <c r="A1079" s="4"/>
      <c r="B1079" s="4"/>
      <c r="C1079" s="4"/>
      <c r="D1079" s="4"/>
      <c r="E1079" s="4"/>
      <c r="F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</row>
    <row r="1080" spans="1:21" ht="13" x14ac:dyDescent="0.15">
      <c r="A1080" s="4"/>
      <c r="B1080" s="4"/>
      <c r="C1080" s="4"/>
      <c r="D1080" s="4"/>
      <c r="E1080" s="4"/>
      <c r="F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</row>
    <row r="1081" spans="1:21" ht="13" x14ac:dyDescent="0.15">
      <c r="A1081" s="4"/>
      <c r="B1081" s="4"/>
      <c r="C1081" s="4"/>
      <c r="D1081" s="4"/>
      <c r="E1081" s="4"/>
      <c r="F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</row>
    <row r="1082" spans="1:21" ht="13" x14ac:dyDescent="0.15">
      <c r="A1082" s="4"/>
      <c r="B1082" s="4"/>
      <c r="C1082" s="4"/>
      <c r="D1082" s="4"/>
      <c r="E1082" s="4"/>
      <c r="F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</row>
    <row r="1083" spans="1:21" ht="13" x14ac:dyDescent="0.15">
      <c r="A1083" s="4"/>
      <c r="B1083" s="4"/>
      <c r="C1083" s="4"/>
      <c r="D1083" s="4"/>
      <c r="E1083" s="4"/>
      <c r="F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</row>
    <row r="1084" spans="1:21" ht="13" x14ac:dyDescent="0.15">
      <c r="A1084" s="4"/>
      <c r="B1084" s="4"/>
      <c r="C1084" s="4"/>
      <c r="D1084" s="4"/>
      <c r="E1084" s="4"/>
      <c r="F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</row>
    <row r="1085" spans="1:21" ht="13" x14ac:dyDescent="0.15">
      <c r="A1085" s="4"/>
      <c r="B1085" s="4"/>
      <c r="C1085" s="4"/>
      <c r="D1085" s="4"/>
      <c r="E1085" s="4"/>
      <c r="F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</row>
    <row r="1086" spans="1:21" ht="13" x14ac:dyDescent="0.15">
      <c r="A1086" s="4"/>
      <c r="B1086" s="4"/>
      <c r="C1086" s="4"/>
      <c r="D1086" s="4"/>
      <c r="E1086" s="4"/>
      <c r="F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</row>
    <row r="1087" spans="1:21" ht="13" x14ac:dyDescent="0.15">
      <c r="A1087" s="4"/>
      <c r="B1087" s="4"/>
      <c r="C1087" s="4"/>
      <c r="D1087" s="4"/>
      <c r="E1087" s="4"/>
      <c r="F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</row>
    <row r="1088" spans="1:21" ht="13" x14ac:dyDescent="0.15">
      <c r="A1088" s="4"/>
      <c r="B1088" s="4"/>
      <c r="C1088" s="4"/>
      <c r="D1088" s="4"/>
      <c r="E1088" s="4"/>
      <c r="F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</row>
    <row r="1089" spans="1:21" ht="13" x14ac:dyDescent="0.15">
      <c r="A1089" s="4"/>
      <c r="B1089" s="4"/>
      <c r="C1089" s="4"/>
      <c r="D1089" s="4"/>
      <c r="E1089" s="4"/>
      <c r="F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</row>
    <row r="1090" spans="1:21" ht="13" x14ac:dyDescent="0.15">
      <c r="A1090" s="4"/>
      <c r="B1090" s="4"/>
      <c r="C1090" s="4"/>
      <c r="D1090" s="4"/>
      <c r="E1090" s="4"/>
      <c r="F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</row>
    <row r="1091" spans="1:21" ht="13" x14ac:dyDescent="0.15">
      <c r="A1091" s="4"/>
      <c r="B1091" s="4"/>
      <c r="C1091" s="4"/>
      <c r="D1091" s="4"/>
      <c r="E1091" s="4"/>
      <c r="F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</row>
    <row r="1092" spans="1:21" ht="13" x14ac:dyDescent="0.15">
      <c r="A1092" s="4"/>
      <c r="B1092" s="4"/>
      <c r="C1092" s="4"/>
      <c r="D1092" s="4"/>
      <c r="E1092" s="4"/>
      <c r="F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</row>
    <row r="1093" spans="1:21" ht="13" x14ac:dyDescent="0.15">
      <c r="A1093" s="4"/>
      <c r="B1093" s="4"/>
      <c r="C1093" s="4"/>
      <c r="D1093" s="4"/>
      <c r="E1093" s="4"/>
      <c r="F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</row>
    <row r="1094" spans="1:21" ht="13" x14ac:dyDescent="0.15">
      <c r="A1094" s="4"/>
      <c r="B1094" s="4"/>
      <c r="C1094" s="4"/>
      <c r="D1094" s="4"/>
      <c r="E1094" s="4"/>
      <c r="F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</row>
    <row r="1095" spans="1:21" ht="13" x14ac:dyDescent="0.15">
      <c r="A1095" s="4"/>
      <c r="B1095" s="4"/>
      <c r="C1095" s="4"/>
      <c r="D1095" s="4"/>
      <c r="E1095" s="4"/>
      <c r="F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</row>
    <row r="1096" spans="1:21" ht="13" x14ac:dyDescent="0.15">
      <c r="A1096" s="4"/>
      <c r="B1096" s="4"/>
      <c r="C1096" s="4"/>
      <c r="D1096" s="4"/>
      <c r="E1096" s="4"/>
      <c r="F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</row>
    <row r="1097" spans="1:21" ht="13" x14ac:dyDescent="0.15">
      <c r="A1097" s="4"/>
      <c r="B1097" s="4"/>
      <c r="C1097" s="4"/>
      <c r="D1097" s="4"/>
      <c r="E1097" s="4"/>
      <c r="F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</row>
    <row r="1098" spans="1:21" ht="13" x14ac:dyDescent="0.15">
      <c r="A1098" s="4"/>
      <c r="B1098" s="4"/>
      <c r="C1098" s="4"/>
      <c r="D1098" s="4"/>
      <c r="E1098" s="4"/>
      <c r="F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</row>
    <row r="1099" spans="1:21" ht="13" x14ac:dyDescent="0.15">
      <c r="A1099" s="4"/>
      <c r="B1099" s="4"/>
      <c r="C1099" s="4"/>
      <c r="D1099" s="4"/>
      <c r="E1099" s="4"/>
      <c r="F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</row>
    <row r="1100" spans="1:21" ht="13" x14ac:dyDescent="0.15">
      <c r="A1100" s="4"/>
      <c r="B1100" s="4"/>
      <c r="C1100" s="4"/>
      <c r="D1100" s="4"/>
      <c r="E1100" s="4"/>
      <c r="F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</row>
    <row r="1101" spans="1:21" ht="13" x14ac:dyDescent="0.15">
      <c r="A1101" s="4"/>
      <c r="B1101" s="4"/>
      <c r="C1101" s="4"/>
      <c r="D1101" s="4"/>
      <c r="E1101" s="4"/>
      <c r="F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</row>
    <row r="1102" spans="1:21" ht="13" x14ac:dyDescent="0.15">
      <c r="A1102" s="4"/>
      <c r="B1102" s="4"/>
      <c r="C1102" s="4"/>
      <c r="D1102" s="4"/>
      <c r="E1102" s="4"/>
      <c r="F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</row>
    <row r="1103" spans="1:21" ht="13" x14ac:dyDescent="0.15">
      <c r="A1103" s="4"/>
      <c r="B1103" s="4"/>
      <c r="C1103" s="4"/>
      <c r="D1103" s="4"/>
      <c r="E1103" s="4"/>
      <c r="F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</row>
    <row r="1104" spans="1:21" ht="13" x14ac:dyDescent="0.15">
      <c r="A1104" s="4"/>
      <c r="B1104" s="4"/>
      <c r="C1104" s="4"/>
      <c r="D1104" s="4"/>
      <c r="E1104" s="4"/>
      <c r="F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</row>
    <row r="1105" spans="1:21" ht="13" x14ac:dyDescent="0.15">
      <c r="A1105" s="4"/>
      <c r="B1105" s="4"/>
      <c r="C1105" s="4"/>
      <c r="D1105" s="4"/>
      <c r="E1105" s="4"/>
      <c r="F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</row>
    <row r="1106" spans="1:21" ht="13" x14ac:dyDescent="0.15">
      <c r="A1106" s="4"/>
      <c r="B1106" s="4"/>
      <c r="C1106" s="4"/>
      <c r="D1106" s="4"/>
      <c r="E1106" s="4"/>
      <c r="F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</row>
    <row r="1107" spans="1:21" ht="13" x14ac:dyDescent="0.15">
      <c r="A1107" s="4"/>
      <c r="B1107" s="4"/>
      <c r="C1107" s="4"/>
      <c r="D1107" s="4"/>
      <c r="E1107" s="4"/>
      <c r="F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</row>
    <row r="1108" spans="1:21" ht="13" x14ac:dyDescent="0.15">
      <c r="A1108" s="4"/>
      <c r="B1108" s="4"/>
      <c r="C1108" s="4"/>
      <c r="D1108" s="4"/>
      <c r="E1108" s="4"/>
      <c r="F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</row>
    <row r="1109" spans="1:21" ht="13" x14ac:dyDescent="0.15">
      <c r="A1109" s="4"/>
      <c r="B1109" s="4"/>
      <c r="C1109" s="4"/>
      <c r="D1109" s="4"/>
      <c r="E1109" s="4"/>
      <c r="F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</row>
    <row r="1110" spans="1:21" ht="13" x14ac:dyDescent="0.15">
      <c r="A1110" s="4"/>
      <c r="B1110" s="4"/>
      <c r="C1110" s="4"/>
      <c r="D1110" s="4"/>
      <c r="E1110" s="4"/>
      <c r="F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</row>
    <row r="1111" spans="1:21" ht="13" x14ac:dyDescent="0.15">
      <c r="A1111" s="4"/>
      <c r="B1111" s="4"/>
      <c r="C1111" s="4"/>
      <c r="D1111" s="4"/>
      <c r="E1111" s="4"/>
      <c r="F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</row>
    <row r="1112" spans="1:21" ht="13" x14ac:dyDescent="0.15">
      <c r="A1112" s="4"/>
      <c r="B1112" s="4"/>
      <c r="C1112" s="4"/>
      <c r="D1112" s="4"/>
      <c r="E1112" s="4"/>
      <c r="F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</row>
    <row r="1113" spans="1:21" ht="13" x14ac:dyDescent="0.15">
      <c r="A1113" s="4"/>
      <c r="B1113" s="4"/>
      <c r="C1113" s="4"/>
      <c r="D1113" s="4"/>
      <c r="E1113" s="4"/>
      <c r="F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</row>
    <row r="1114" spans="1:21" ht="13" x14ac:dyDescent="0.15">
      <c r="A1114" s="4"/>
      <c r="B1114" s="4"/>
      <c r="C1114" s="4"/>
      <c r="D1114" s="4"/>
      <c r="E1114" s="4"/>
      <c r="F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</row>
    <row r="1115" spans="1:21" ht="13" x14ac:dyDescent="0.15">
      <c r="A1115" s="4"/>
      <c r="B1115" s="4"/>
      <c r="C1115" s="4"/>
      <c r="D1115" s="4"/>
      <c r="E1115" s="4"/>
      <c r="F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</row>
    <row r="1116" spans="1:21" ht="13" x14ac:dyDescent="0.15">
      <c r="A1116" s="4"/>
      <c r="B1116" s="4"/>
      <c r="C1116" s="4"/>
      <c r="D1116" s="4"/>
      <c r="E1116" s="4"/>
      <c r="F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</row>
    <row r="1117" spans="1:21" ht="13" x14ac:dyDescent="0.15">
      <c r="A1117" s="4"/>
      <c r="B1117" s="4"/>
      <c r="C1117" s="4"/>
      <c r="D1117" s="4"/>
      <c r="E1117" s="4"/>
      <c r="F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</row>
    <row r="1118" spans="1:21" ht="13" x14ac:dyDescent="0.15">
      <c r="A1118" s="4"/>
      <c r="B1118" s="4"/>
      <c r="C1118" s="4"/>
      <c r="D1118" s="4"/>
      <c r="E1118" s="4"/>
      <c r="F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</row>
    <row r="1119" spans="1:21" ht="13" x14ac:dyDescent="0.15">
      <c r="A1119" s="4"/>
      <c r="B1119" s="4"/>
      <c r="C1119" s="4"/>
      <c r="D1119" s="4"/>
      <c r="E1119" s="4"/>
      <c r="F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</row>
    <row r="1120" spans="1:21" ht="13" x14ac:dyDescent="0.15">
      <c r="A1120" s="4"/>
      <c r="B1120" s="4"/>
      <c r="C1120" s="4"/>
      <c r="D1120" s="4"/>
      <c r="E1120" s="4"/>
      <c r="F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</row>
    <row r="1121" spans="1:21" ht="13" x14ac:dyDescent="0.15">
      <c r="A1121" s="4"/>
      <c r="B1121" s="4"/>
      <c r="C1121" s="4"/>
      <c r="D1121" s="4"/>
      <c r="E1121" s="4"/>
      <c r="F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</row>
    <row r="1122" spans="1:21" ht="13" x14ac:dyDescent="0.15">
      <c r="A1122" s="4"/>
      <c r="B1122" s="4"/>
      <c r="C1122" s="4"/>
      <c r="D1122" s="4"/>
      <c r="E1122" s="4"/>
      <c r="F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</row>
    <row r="1123" spans="1:21" ht="13" x14ac:dyDescent="0.15">
      <c r="A1123" s="4"/>
      <c r="B1123" s="4"/>
      <c r="C1123" s="4"/>
      <c r="D1123" s="4"/>
      <c r="E1123" s="4"/>
      <c r="F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</row>
    <row r="1124" spans="1:21" ht="13" x14ac:dyDescent="0.15">
      <c r="A1124" s="4"/>
      <c r="B1124" s="4"/>
      <c r="C1124" s="4"/>
      <c r="D1124" s="4"/>
      <c r="E1124" s="4"/>
      <c r="F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</row>
    <row r="1125" spans="1:21" ht="13" x14ac:dyDescent="0.15">
      <c r="A1125" s="4"/>
      <c r="B1125" s="4"/>
      <c r="C1125" s="4"/>
      <c r="D1125" s="4"/>
      <c r="E1125" s="4"/>
      <c r="F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</row>
    <row r="1126" spans="1:21" ht="13" x14ac:dyDescent="0.15">
      <c r="A1126" s="4"/>
      <c r="B1126" s="4"/>
      <c r="C1126" s="4"/>
      <c r="D1126" s="4"/>
      <c r="E1126" s="4"/>
      <c r="F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</row>
    <row r="1127" spans="1:21" ht="13" x14ac:dyDescent="0.15">
      <c r="A1127" s="4"/>
      <c r="B1127" s="4"/>
      <c r="C1127" s="4"/>
      <c r="D1127" s="4"/>
      <c r="E1127" s="4"/>
      <c r="F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</row>
    <row r="1128" spans="1:21" ht="13" x14ac:dyDescent="0.15">
      <c r="A1128" s="4"/>
      <c r="B1128" s="4"/>
      <c r="C1128" s="4"/>
      <c r="D1128" s="4"/>
      <c r="E1128" s="4"/>
      <c r="F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</row>
    <row r="1129" spans="1:21" ht="13" x14ac:dyDescent="0.15">
      <c r="A1129" s="4"/>
      <c r="B1129" s="4"/>
      <c r="C1129" s="4"/>
      <c r="D1129" s="4"/>
      <c r="E1129" s="4"/>
      <c r="F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</row>
    <row r="1130" spans="1:21" ht="13" x14ac:dyDescent="0.15">
      <c r="A1130" s="4"/>
      <c r="B1130" s="4"/>
      <c r="C1130" s="4"/>
      <c r="D1130" s="4"/>
      <c r="E1130" s="4"/>
      <c r="F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</row>
    <row r="1131" spans="1:21" ht="13" x14ac:dyDescent="0.15">
      <c r="A1131" s="4"/>
      <c r="B1131" s="4"/>
      <c r="C1131" s="4"/>
      <c r="D1131" s="4"/>
      <c r="E1131" s="4"/>
      <c r="F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</row>
    <row r="1132" spans="1:21" ht="13" x14ac:dyDescent="0.15">
      <c r="A1132" s="4"/>
      <c r="B1132" s="4"/>
      <c r="C1132" s="4"/>
      <c r="D1132" s="4"/>
      <c r="E1132" s="4"/>
      <c r="F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</row>
    <row r="1133" spans="1:21" ht="13" x14ac:dyDescent="0.15">
      <c r="A1133" s="4"/>
      <c r="B1133" s="4"/>
      <c r="C1133" s="4"/>
      <c r="D1133" s="4"/>
      <c r="E1133" s="4"/>
      <c r="F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</row>
    <row r="1134" spans="1:21" ht="13" x14ac:dyDescent="0.15">
      <c r="A1134" s="4"/>
      <c r="B1134" s="4"/>
      <c r="C1134" s="4"/>
      <c r="D1134" s="4"/>
      <c r="E1134" s="4"/>
      <c r="F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</row>
    <row r="1135" spans="1:21" ht="13" x14ac:dyDescent="0.15">
      <c r="A1135" s="4"/>
      <c r="B1135" s="4"/>
      <c r="C1135" s="4"/>
      <c r="D1135" s="4"/>
      <c r="E1135" s="4"/>
      <c r="F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</row>
    <row r="1136" spans="1:21" ht="13" x14ac:dyDescent="0.15">
      <c r="A1136" s="4"/>
      <c r="B1136" s="4"/>
      <c r="C1136" s="4"/>
      <c r="D1136" s="4"/>
      <c r="E1136" s="4"/>
      <c r="F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</row>
    <row r="1137" spans="1:21" ht="13" x14ac:dyDescent="0.15">
      <c r="A1137" s="4"/>
      <c r="B1137" s="4"/>
      <c r="C1137" s="4"/>
      <c r="D1137" s="4"/>
      <c r="E1137" s="4"/>
      <c r="F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</row>
    <row r="1138" spans="1:21" ht="13" x14ac:dyDescent="0.15">
      <c r="A1138" s="4"/>
      <c r="B1138" s="4"/>
      <c r="C1138" s="4"/>
      <c r="D1138" s="4"/>
      <c r="E1138" s="4"/>
      <c r="F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</row>
    <row r="1139" spans="1:21" ht="13" x14ac:dyDescent="0.15">
      <c r="A1139" s="4"/>
      <c r="B1139" s="4"/>
      <c r="C1139" s="4"/>
      <c r="D1139" s="4"/>
      <c r="E1139" s="4"/>
      <c r="F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</row>
    <row r="1140" spans="1:21" ht="13" x14ac:dyDescent="0.15">
      <c r="A1140" s="4"/>
      <c r="B1140" s="4"/>
      <c r="C1140" s="4"/>
      <c r="D1140" s="4"/>
      <c r="E1140" s="4"/>
      <c r="F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</row>
    <row r="1141" spans="1:21" ht="13" x14ac:dyDescent="0.15">
      <c r="A1141" s="4"/>
      <c r="B1141" s="4"/>
      <c r="C1141" s="4"/>
      <c r="D1141" s="4"/>
      <c r="E1141" s="4"/>
      <c r="F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</row>
    <row r="1142" spans="1:21" ht="13" x14ac:dyDescent="0.15">
      <c r="A1142" s="4"/>
      <c r="B1142" s="4"/>
      <c r="C1142" s="4"/>
      <c r="D1142" s="4"/>
      <c r="E1142" s="4"/>
      <c r="F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</row>
    <row r="1143" spans="1:21" ht="13" x14ac:dyDescent="0.15">
      <c r="A1143" s="4"/>
      <c r="B1143" s="4"/>
      <c r="C1143" s="4"/>
      <c r="D1143" s="4"/>
      <c r="E1143" s="4"/>
      <c r="F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</row>
    <row r="1144" spans="1:21" ht="13" x14ac:dyDescent="0.15">
      <c r="A1144" s="4"/>
      <c r="B1144" s="4"/>
      <c r="C1144" s="4"/>
      <c r="D1144" s="4"/>
      <c r="E1144" s="4"/>
      <c r="F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</row>
    <row r="1145" spans="1:21" ht="13" x14ac:dyDescent="0.15">
      <c r="A1145" s="4"/>
      <c r="B1145" s="4"/>
      <c r="C1145" s="4"/>
      <c r="D1145" s="4"/>
      <c r="E1145" s="4"/>
      <c r="F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</row>
    <row r="1146" spans="1:21" ht="13" x14ac:dyDescent="0.15">
      <c r="A1146" s="4"/>
      <c r="B1146" s="4"/>
      <c r="C1146" s="4"/>
      <c r="D1146" s="4"/>
      <c r="E1146" s="4"/>
      <c r="F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</row>
    <row r="1147" spans="1:21" ht="13" x14ac:dyDescent="0.15">
      <c r="A1147" s="4"/>
      <c r="B1147" s="4"/>
      <c r="C1147" s="4"/>
      <c r="D1147" s="4"/>
      <c r="E1147" s="4"/>
      <c r="F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</row>
    <row r="1148" spans="1:21" ht="13" x14ac:dyDescent="0.15">
      <c r="A1148" s="4"/>
      <c r="B1148" s="4"/>
      <c r="C1148" s="4"/>
      <c r="D1148" s="4"/>
      <c r="E1148" s="4"/>
      <c r="F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</row>
    <row r="1149" spans="1:21" ht="13" x14ac:dyDescent="0.15">
      <c r="A1149" s="4"/>
      <c r="B1149" s="4"/>
      <c r="C1149" s="4"/>
      <c r="D1149" s="4"/>
      <c r="E1149" s="4"/>
      <c r="F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</row>
    <row r="1150" spans="1:21" ht="13" x14ac:dyDescent="0.15">
      <c r="A1150" s="4"/>
      <c r="B1150" s="4"/>
      <c r="C1150" s="4"/>
      <c r="D1150" s="4"/>
      <c r="E1150" s="4"/>
      <c r="F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</row>
    <row r="1151" spans="1:21" ht="13" x14ac:dyDescent="0.15">
      <c r="A1151" s="4"/>
      <c r="B1151" s="4"/>
      <c r="C1151" s="4"/>
      <c r="D1151" s="4"/>
      <c r="E1151" s="4"/>
      <c r="F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</row>
    <row r="1152" spans="1:21" ht="13" x14ac:dyDescent="0.15">
      <c r="A1152" s="4"/>
      <c r="B1152" s="4"/>
      <c r="C1152" s="4"/>
      <c r="D1152" s="4"/>
      <c r="E1152" s="4"/>
      <c r="F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</row>
    <row r="1153" spans="1:21" ht="13" x14ac:dyDescent="0.15">
      <c r="A1153" s="4"/>
      <c r="B1153" s="4"/>
      <c r="C1153" s="4"/>
      <c r="D1153" s="4"/>
      <c r="E1153" s="4"/>
      <c r="F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</row>
    <row r="1154" spans="1:21" ht="13" x14ac:dyDescent="0.15">
      <c r="A1154" s="4"/>
      <c r="B1154" s="4"/>
      <c r="C1154" s="4"/>
      <c r="D1154" s="4"/>
      <c r="E1154" s="4"/>
      <c r="F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</row>
    <row r="1155" spans="1:21" ht="13" x14ac:dyDescent="0.15">
      <c r="A1155" s="4"/>
      <c r="B1155" s="4"/>
      <c r="C1155" s="4"/>
      <c r="D1155" s="4"/>
      <c r="E1155" s="4"/>
      <c r="F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</row>
    <row r="1156" spans="1:21" ht="13" x14ac:dyDescent="0.15">
      <c r="A1156" s="4"/>
      <c r="B1156" s="4"/>
      <c r="C1156" s="4"/>
      <c r="D1156" s="4"/>
      <c r="E1156" s="4"/>
      <c r="F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</row>
    <row r="1157" spans="1:21" ht="13" x14ac:dyDescent="0.15">
      <c r="A1157" s="4"/>
      <c r="B1157" s="4"/>
      <c r="C1157" s="4"/>
      <c r="D1157" s="4"/>
      <c r="E1157" s="4"/>
      <c r="F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</row>
    <row r="1158" spans="1:21" ht="13" x14ac:dyDescent="0.15">
      <c r="A1158" s="4"/>
      <c r="B1158" s="4"/>
      <c r="C1158" s="4"/>
      <c r="D1158" s="4"/>
      <c r="E1158" s="4"/>
      <c r="F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</row>
    <row r="1159" spans="1:21" ht="13" x14ac:dyDescent="0.15">
      <c r="A1159" s="4"/>
      <c r="B1159" s="4"/>
      <c r="C1159" s="4"/>
      <c r="D1159" s="4"/>
      <c r="E1159" s="4"/>
      <c r="F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</row>
    <row r="1160" spans="1:21" ht="13" x14ac:dyDescent="0.15">
      <c r="A1160" s="4"/>
      <c r="B1160" s="4"/>
      <c r="C1160" s="4"/>
      <c r="D1160" s="4"/>
      <c r="E1160" s="4"/>
      <c r="F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</row>
    <row r="1161" spans="1:21" ht="13" x14ac:dyDescent="0.15">
      <c r="A1161" s="4"/>
      <c r="B1161" s="4"/>
      <c r="C1161" s="4"/>
      <c r="D1161" s="4"/>
      <c r="E1161" s="4"/>
      <c r="F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</row>
    <row r="1162" spans="1:21" ht="13" x14ac:dyDescent="0.15">
      <c r="A1162" s="4"/>
      <c r="B1162" s="4"/>
      <c r="C1162" s="4"/>
      <c r="D1162" s="4"/>
      <c r="E1162" s="4"/>
      <c r="F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</row>
    <row r="1163" spans="1:21" ht="13" x14ac:dyDescent="0.15">
      <c r="A1163" s="4"/>
      <c r="B1163" s="4"/>
      <c r="C1163" s="4"/>
      <c r="D1163" s="4"/>
      <c r="E1163" s="4"/>
      <c r="F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</row>
    <row r="1164" spans="1:21" ht="13" x14ac:dyDescent="0.15">
      <c r="A1164" s="4"/>
      <c r="B1164" s="4"/>
      <c r="C1164" s="4"/>
      <c r="D1164" s="4"/>
      <c r="E1164" s="4"/>
      <c r="F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</row>
    <row r="1165" spans="1:21" ht="13" x14ac:dyDescent="0.15">
      <c r="A1165" s="4"/>
      <c r="B1165" s="4"/>
      <c r="C1165" s="4"/>
      <c r="D1165" s="4"/>
      <c r="E1165" s="4"/>
      <c r="F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</row>
    <row r="1166" spans="1:21" ht="13" x14ac:dyDescent="0.15">
      <c r="A1166" s="4"/>
      <c r="B1166" s="4"/>
      <c r="C1166" s="4"/>
      <c r="D1166" s="4"/>
      <c r="E1166" s="4"/>
      <c r="F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</row>
    <row r="1167" spans="1:21" ht="13" x14ac:dyDescent="0.15">
      <c r="A1167" s="4"/>
      <c r="B1167" s="4"/>
      <c r="C1167" s="4"/>
      <c r="D1167" s="4"/>
      <c r="E1167" s="4"/>
      <c r="F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</row>
    <row r="1168" spans="1:21" ht="13" x14ac:dyDescent="0.15">
      <c r="A1168" s="4"/>
      <c r="B1168" s="4"/>
      <c r="C1168" s="4"/>
      <c r="D1168" s="4"/>
      <c r="E1168" s="4"/>
      <c r="F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</row>
    <row r="1169" spans="1:21" ht="13" x14ac:dyDescent="0.15">
      <c r="A1169" s="4"/>
      <c r="B1169" s="4"/>
      <c r="C1169" s="4"/>
      <c r="D1169" s="4"/>
      <c r="E1169" s="4"/>
      <c r="F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</row>
    <row r="1170" spans="1:21" ht="13" x14ac:dyDescent="0.15">
      <c r="A1170" s="4"/>
      <c r="B1170" s="4"/>
      <c r="C1170" s="4"/>
      <c r="D1170" s="4"/>
      <c r="E1170" s="4"/>
      <c r="F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</row>
    <row r="1171" spans="1:21" ht="13" x14ac:dyDescent="0.15">
      <c r="A1171" s="4"/>
      <c r="B1171" s="4"/>
      <c r="C1171" s="4"/>
      <c r="D1171" s="4"/>
      <c r="E1171" s="4"/>
      <c r="F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</row>
    <row r="1172" spans="1:21" ht="13" x14ac:dyDescent="0.15">
      <c r="A1172" s="4"/>
      <c r="B1172" s="4"/>
      <c r="C1172" s="4"/>
      <c r="D1172" s="4"/>
      <c r="E1172" s="4"/>
      <c r="F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</row>
    <row r="1173" spans="1:21" ht="13" x14ac:dyDescent="0.15">
      <c r="A1173" s="4"/>
      <c r="B1173" s="4"/>
      <c r="C1173" s="4"/>
      <c r="D1173" s="4"/>
      <c r="E1173" s="4"/>
      <c r="F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</row>
    <row r="1174" spans="1:21" ht="13" x14ac:dyDescent="0.15">
      <c r="A1174" s="4"/>
      <c r="B1174" s="4"/>
      <c r="C1174" s="4"/>
      <c r="D1174" s="4"/>
      <c r="E1174" s="4"/>
      <c r="F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</row>
    <row r="1175" spans="1:21" ht="13" x14ac:dyDescent="0.15">
      <c r="A1175" s="4"/>
      <c r="B1175" s="4"/>
      <c r="C1175" s="4"/>
      <c r="D1175" s="4"/>
      <c r="E1175" s="4"/>
      <c r="F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</row>
    <row r="1176" spans="1:21" ht="13" x14ac:dyDescent="0.15">
      <c r="A1176" s="4"/>
      <c r="B1176" s="4"/>
      <c r="C1176" s="4"/>
      <c r="D1176" s="4"/>
      <c r="E1176" s="4"/>
      <c r="F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</row>
    <row r="1177" spans="1:21" ht="13" x14ac:dyDescent="0.15">
      <c r="A1177" s="4"/>
      <c r="B1177" s="4"/>
      <c r="C1177" s="4"/>
      <c r="D1177" s="4"/>
      <c r="E1177" s="4"/>
      <c r="F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</row>
    <row r="1178" spans="1:21" ht="13" x14ac:dyDescent="0.15">
      <c r="A1178" s="4"/>
      <c r="B1178" s="4"/>
      <c r="C1178" s="4"/>
      <c r="D1178" s="4"/>
      <c r="E1178" s="4"/>
      <c r="F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</row>
    <row r="1179" spans="1:21" ht="13" x14ac:dyDescent="0.15">
      <c r="A1179" s="4"/>
      <c r="B1179" s="4"/>
      <c r="C1179" s="4"/>
      <c r="D1179" s="4"/>
      <c r="E1179" s="4"/>
      <c r="F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</row>
    <row r="1180" spans="1:21" ht="13" x14ac:dyDescent="0.15">
      <c r="A1180" s="4"/>
      <c r="B1180" s="4"/>
      <c r="C1180" s="4"/>
      <c r="D1180" s="4"/>
      <c r="E1180" s="4"/>
      <c r="F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</row>
    <row r="1181" spans="1:21" ht="13" x14ac:dyDescent="0.15">
      <c r="A1181" s="4"/>
      <c r="B1181" s="4"/>
      <c r="C1181" s="4"/>
      <c r="D1181" s="4"/>
      <c r="E1181" s="4"/>
      <c r="F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</row>
    <row r="1182" spans="1:21" ht="13" x14ac:dyDescent="0.15">
      <c r="A1182" s="4"/>
      <c r="B1182" s="4"/>
      <c r="C1182" s="4"/>
      <c r="D1182" s="4"/>
      <c r="E1182" s="4"/>
      <c r="F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</row>
    <row r="1183" spans="1:21" ht="13" x14ac:dyDescent="0.15">
      <c r="A1183" s="4"/>
      <c r="B1183" s="4"/>
      <c r="C1183" s="4"/>
      <c r="D1183" s="4"/>
      <c r="E1183" s="4"/>
      <c r="F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</row>
    <row r="1184" spans="1:21" ht="13" x14ac:dyDescent="0.15">
      <c r="A1184" s="4"/>
      <c r="B1184" s="4"/>
      <c r="C1184" s="4"/>
      <c r="D1184" s="4"/>
      <c r="E1184" s="4"/>
      <c r="F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</row>
    <row r="1185" spans="1:21" ht="13" x14ac:dyDescent="0.15">
      <c r="A1185" s="4"/>
      <c r="B1185" s="4"/>
      <c r="C1185" s="4"/>
      <c r="D1185" s="4"/>
      <c r="E1185" s="4"/>
      <c r="F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</row>
    <row r="1186" spans="1:21" ht="13" x14ac:dyDescent="0.15">
      <c r="A1186" s="4"/>
      <c r="B1186" s="4"/>
      <c r="C1186" s="4"/>
      <c r="D1186" s="4"/>
      <c r="E1186" s="4"/>
      <c r="F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</row>
    <row r="1187" spans="1:21" ht="13" x14ac:dyDescent="0.15">
      <c r="A1187" s="4"/>
      <c r="B1187" s="4"/>
      <c r="C1187" s="4"/>
      <c r="D1187" s="4"/>
      <c r="E1187" s="4"/>
      <c r="F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</row>
    <row r="1188" spans="1:21" ht="13" x14ac:dyDescent="0.15">
      <c r="A1188" s="4"/>
      <c r="B1188" s="4"/>
      <c r="C1188" s="4"/>
      <c r="D1188" s="4"/>
      <c r="E1188" s="4"/>
      <c r="F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</row>
    <row r="1189" spans="1:21" ht="13" x14ac:dyDescent="0.15">
      <c r="A1189" s="4"/>
      <c r="B1189" s="4"/>
      <c r="C1189" s="4"/>
      <c r="D1189" s="4"/>
      <c r="E1189" s="4"/>
      <c r="F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</row>
    <row r="1190" spans="1:21" ht="13" x14ac:dyDescent="0.15">
      <c r="A1190" s="4"/>
      <c r="B1190" s="4"/>
      <c r="C1190" s="4"/>
      <c r="D1190" s="4"/>
      <c r="E1190" s="4"/>
      <c r="F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</row>
    <row r="1191" spans="1:21" ht="13" x14ac:dyDescent="0.15">
      <c r="A1191" s="4"/>
      <c r="B1191" s="4"/>
      <c r="C1191" s="4"/>
      <c r="D1191" s="4"/>
      <c r="E1191" s="4"/>
      <c r="F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</row>
    <row r="1192" spans="1:21" ht="13" x14ac:dyDescent="0.15">
      <c r="A1192" s="4"/>
      <c r="B1192" s="4"/>
      <c r="C1192" s="4"/>
      <c r="D1192" s="4"/>
      <c r="E1192" s="4"/>
      <c r="F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</row>
    <row r="1193" spans="1:21" ht="13" x14ac:dyDescent="0.15">
      <c r="A1193" s="4"/>
      <c r="B1193" s="4"/>
      <c r="C1193" s="4"/>
      <c r="D1193" s="4"/>
      <c r="E1193" s="4"/>
      <c r="F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</row>
    <row r="1194" spans="1:21" ht="13" x14ac:dyDescent="0.15">
      <c r="A1194" s="4"/>
      <c r="B1194" s="4"/>
      <c r="C1194" s="4"/>
      <c r="D1194" s="4"/>
      <c r="E1194" s="4"/>
      <c r="F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</row>
    <row r="1195" spans="1:21" ht="13" x14ac:dyDescent="0.15">
      <c r="A1195" s="4"/>
      <c r="B1195" s="4"/>
      <c r="C1195" s="4"/>
      <c r="D1195" s="4"/>
      <c r="E1195" s="4"/>
      <c r="F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</row>
    <row r="1196" spans="1:21" ht="13" x14ac:dyDescent="0.15">
      <c r="A1196" s="4"/>
      <c r="B1196" s="4"/>
      <c r="C1196" s="4"/>
      <c r="D1196" s="4"/>
      <c r="E1196" s="4"/>
      <c r="F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</row>
    <row r="1197" spans="1:21" ht="13" x14ac:dyDescent="0.15">
      <c r="A1197" s="4"/>
      <c r="B1197" s="4"/>
      <c r="C1197" s="4"/>
      <c r="D1197" s="4"/>
      <c r="E1197" s="4"/>
      <c r="F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</row>
    <row r="1198" spans="1:21" ht="13" x14ac:dyDescent="0.15">
      <c r="A1198" s="4"/>
      <c r="B1198" s="4"/>
      <c r="C1198" s="4"/>
      <c r="D1198" s="4"/>
      <c r="E1198" s="4"/>
      <c r="F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</row>
    <row r="1199" spans="1:21" ht="13" x14ac:dyDescent="0.15">
      <c r="A1199" s="4"/>
      <c r="B1199" s="4"/>
      <c r="C1199" s="4"/>
      <c r="D1199" s="4"/>
      <c r="E1199" s="4"/>
      <c r="F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</row>
    <row r="1200" spans="1:21" ht="13" x14ac:dyDescent="0.15">
      <c r="A1200" s="4"/>
      <c r="B1200" s="4"/>
      <c r="C1200" s="4"/>
      <c r="D1200" s="4"/>
      <c r="E1200" s="4"/>
      <c r="F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</row>
    <row r="1201" spans="1:21" ht="13" x14ac:dyDescent="0.15">
      <c r="A1201" s="4"/>
      <c r="B1201" s="4"/>
      <c r="C1201" s="4"/>
      <c r="D1201" s="4"/>
      <c r="E1201" s="4"/>
      <c r="F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</row>
    <row r="1202" spans="1:21" ht="13" x14ac:dyDescent="0.15">
      <c r="A1202" s="4"/>
      <c r="B1202" s="4"/>
      <c r="C1202" s="4"/>
      <c r="D1202" s="4"/>
      <c r="E1202" s="4"/>
      <c r="F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</row>
    <row r="1203" spans="1:21" ht="13" x14ac:dyDescent="0.15">
      <c r="A1203" s="4"/>
      <c r="B1203" s="4"/>
      <c r="C1203" s="4"/>
      <c r="D1203" s="4"/>
      <c r="E1203" s="4"/>
      <c r="F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</row>
    <row r="1204" spans="1:21" ht="13" x14ac:dyDescent="0.15">
      <c r="A1204" s="4"/>
      <c r="B1204" s="4"/>
      <c r="C1204" s="4"/>
      <c r="D1204" s="4"/>
      <c r="E1204" s="4"/>
      <c r="F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</row>
    <row r="1205" spans="1:21" ht="13" x14ac:dyDescent="0.15">
      <c r="A1205" s="4"/>
      <c r="B1205" s="4"/>
      <c r="C1205" s="4"/>
      <c r="D1205" s="4"/>
      <c r="E1205" s="4"/>
      <c r="F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</row>
    <row r="1206" spans="1:21" ht="13" x14ac:dyDescent="0.15">
      <c r="A1206" s="4"/>
      <c r="B1206" s="4"/>
      <c r="C1206" s="4"/>
      <c r="D1206" s="4"/>
      <c r="E1206" s="4"/>
      <c r="F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</row>
    <row r="1207" spans="1:21" ht="13" x14ac:dyDescent="0.15">
      <c r="A1207" s="4"/>
      <c r="B1207" s="4"/>
      <c r="C1207" s="4"/>
      <c r="D1207" s="4"/>
      <c r="E1207" s="4"/>
      <c r="F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</row>
    <row r="1208" spans="1:21" ht="13" x14ac:dyDescent="0.15">
      <c r="A1208" s="4"/>
      <c r="B1208" s="4"/>
      <c r="C1208" s="4"/>
      <c r="D1208" s="4"/>
      <c r="E1208" s="4"/>
      <c r="F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</row>
    <row r="1209" spans="1:21" ht="13" x14ac:dyDescent="0.15">
      <c r="A1209" s="4"/>
      <c r="B1209" s="4"/>
      <c r="C1209" s="4"/>
      <c r="D1209" s="4"/>
      <c r="E1209" s="4"/>
      <c r="F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</row>
    <row r="1210" spans="1:21" ht="13" x14ac:dyDescent="0.15">
      <c r="A1210" s="4"/>
      <c r="B1210" s="4"/>
      <c r="C1210" s="4"/>
      <c r="D1210" s="4"/>
      <c r="E1210" s="4"/>
      <c r="F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</row>
    <row r="1211" spans="1:21" ht="13" x14ac:dyDescent="0.15">
      <c r="A1211" s="4"/>
      <c r="B1211" s="4"/>
      <c r="C1211" s="4"/>
      <c r="D1211" s="4"/>
      <c r="E1211" s="4"/>
      <c r="F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</row>
    <row r="1212" spans="1:21" ht="13" x14ac:dyDescent="0.15">
      <c r="A1212" s="4"/>
      <c r="B1212" s="4"/>
      <c r="C1212" s="4"/>
      <c r="D1212" s="4"/>
      <c r="E1212" s="4"/>
      <c r="F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</row>
    <row r="1213" spans="1:21" ht="13" x14ac:dyDescent="0.15">
      <c r="A1213" s="4"/>
      <c r="B1213" s="4"/>
      <c r="C1213" s="4"/>
      <c r="D1213" s="4"/>
      <c r="E1213" s="4"/>
      <c r="F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</row>
    <row r="1214" spans="1:21" ht="13" x14ac:dyDescent="0.15">
      <c r="A1214" s="4"/>
      <c r="B1214" s="4"/>
      <c r="C1214" s="4"/>
      <c r="D1214" s="4"/>
      <c r="E1214" s="4"/>
      <c r="F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</row>
    <row r="1215" spans="1:21" ht="13" x14ac:dyDescent="0.15">
      <c r="A1215" s="4"/>
      <c r="B1215" s="4"/>
      <c r="C1215" s="4"/>
      <c r="D1215" s="4"/>
      <c r="E1215" s="4"/>
      <c r="F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</row>
    <row r="1216" spans="1:21" ht="13" x14ac:dyDescent="0.15">
      <c r="A1216" s="4"/>
      <c r="B1216" s="4"/>
      <c r="C1216" s="4"/>
      <c r="D1216" s="4"/>
      <c r="E1216" s="4"/>
      <c r="F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</row>
    <row r="1217" spans="1:21" ht="13" x14ac:dyDescent="0.15">
      <c r="A1217" s="4"/>
      <c r="B1217" s="4"/>
      <c r="C1217" s="4"/>
      <c r="D1217" s="4"/>
      <c r="E1217" s="4"/>
      <c r="F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</row>
    <row r="1218" spans="1:21" ht="13" x14ac:dyDescent="0.15">
      <c r="A1218" s="4"/>
      <c r="B1218" s="4"/>
      <c r="C1218" s="4"/>
      <c r="D1218" s="4"/>
      <c r="E1218" s="4"/>
      <c r="F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</row>
    <row r="1219" spans="1:21" ht="13" x14ac:dyDescent="0.15">
      <c r="A1219" s="4"/>
      <c r="B1219" s="4"/>
      <c r="C1219" s="4"/>
      <c r="D1219" s="4"/>
      <c r="E1219" s="4"/>
      <c r="F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</row>
    <row r="1220" spans="1:21" ht="13" x14ac:dyDescent="0.15">
      <c r="A1220" s="4"/>
      <c r="B1220" s="4"/>
      <c r="C1220" s="4"/>
      <c r="D1220" s="4"/>
      <c r="E1220" s="4"/>
      <c r="F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</row>
    <row r="1221" spans="1:21" ht="13" x14ac:dyDescent="0.15">
      <c r="A1221" s="4"/>
      <c r="B1221" s="4"/>
      <c r="C1221" s="4"/>
      <c r="D1221" s="4"/>
      <c r="E1221" s="4"/>
      <c r="F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</row>
    <row r="1222" spans="1:21" ht="13" x14ac:dyDescent="0.15">
      <c r="A1222" s="4"/>
      <c r="B1222" s="4"/>
      <c r="C1222" s="4"/>
      <c r="D1222" s="4"/>
      <c r="E1222" s="4"/>
      <c r="F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</row>
    <row r="1223" spans="1:21" ht="13" x14ac:dyDescent="0.15">
      <c r="A1223" s="4"/>
      <c r="B1223" s="4"/>
      <c r="C1223" s="4"/>
      <c r="D1223" s="4"/>
      <c r="E1223" s="4"/>
      <c r="F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</row>
    <row r="1224" spans="1:21" ht="13" x14ac:dyDescent="0.15">
      <c r="A1224" s="4"/>
      <c r="B1224" s="4"/>
      <c r="C1224" s="4"/>
      <c r="D1224" s="4"/>
      <c r="E1224" s="4"/>
      <c r="F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</row>
    <row r="1225" spans="1:21" ht="13" x14ac:dyDescent="0.15">
      <c r="A1225" s="4"/>
      <c r="B1225" s="4"/>
      <c r="C1225" s="4"/>
      <c r="D1225" s="4"/>
      <c r="E1225" s="4"/>
      <c r="F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</row>
    <row r="1226" spans="1:21" ht="13" x14ac:dyDescent="0.15">
      <c r="A1226" s="4"/>
      <c r="B1226" s="4"/>
      <c r="C1226" s="4"/>
      <c r="D1226" s="4"/>
      <c r="E1226" s="4"/>
      <c r="F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</row>
    <row r="1227" spans="1:21" ht="13" x14ac:dyDescent="0.15">
      <c r="A1227" s="4"/>
      <c r="B1227" s="4"/>
      <c r="C1227" s="4"/>
      <c r="D1227" s="4"/>
      <c r="E1227" s="4"/>
      <c r="F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</row>
    <row r="1228" spans="1:21" ht="13" x14ac:dyDescent="0.15">
      <c r="A1228" s="4"/>
      <c r="B1228" s="4"/>
      <c r="C1228" s="4"/>
      <c r="D1228" s="4"/>
      <c r="E1228" s="4"/>
      <c r="F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</row>
    <row r="1229" spans="1:21" ht="13" x14ac:dyDescent="0.15">
      <c r="A1229" s="4"/>
      <c r="B1229" s="4"/>
      <c r="C1229" s="4"/>
      <c r="D1229" s="4"/>
      <c r="E1229" s="4"/>
      <c r="F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</row>
    <row r="1230" spans="1:21" ht="13" x14ac:dyDescent="0.15">
      <c r="A1230" s="4"/>
      <c r="B1230" s="4"/>
      <c r="C1230" s="4"/>
      <c r="D1230" s="4"/>
      <c r="E1230" s="4"/>
      <c r="F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</row>
    <row r="1231" spans="1:21" ht="13" x14ac:dyDescent="0.15">
      <c r="A1231" s="4"/>
      <c r="B1231" s="4"/>
      <c r="C1231" s="4"/>
      <c r="D1231" s="4"/>
      <c r="E1231" s="4"/>
      <c r="F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</row>
    <row r="1232" spans="1:21" ht="13" x14ac:dyDescent="0.15">
      <c r="A1232" s="4"/>
      <c r="B1232" s="4"/>
      <c r="C1232" s="4"/>
      <c r="D1232" s="4"/>
      <c r="E1232" s="4"/>
      <c r="F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</row>
    <row r="1233" spans="1:21" ht="13" x14ac:dyDescent="0.15">
      <c r="A1233" s="4"/>
      <c r="B1233" s="4"/>
      <c r="C1233" s="4"/>
      <c r="D1233" s="4"/>
      <c r="E1233" s="4"/>
      <c r="F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</row>
    <row r="1234" spans="1:21" ht="13" x14ac:dyDescent="0.15">
      <c r="A1234" s="4"/>
      <c r="B1234" s="4"/>
      <c r="C1234" s="4"/>
      <c r="D1234" s="4"/>
      <c r="E1234" s="4"/>
      <c r="F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</row>
    <row r="1235" spans="1:21" ht="13" x14ac:dyDescent="0.15">
      <c r="A1235" s="4"/>
      <c r="B1235" s="4"/>
      <c r="C1235" s="4"/>
      <c r="D1235" s="4"/>
      <c r="E1235" s="4"/>
      <c r="F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</row>
    <row r="1236" spans="1:21" ht="13" x14ac:dyDescent="0.15">
      <c r="A1236" s="4"/>
      <c r="B1236" s="4"/>
      <c r="C1236" s="4"/>
      <c r="D1236" s="4"/>
      <c r="E1236" s="4"/>
      <c r="F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</row>
    <row r="1237" spans="1:21" ht="13" x14ac:dyDescent="0.15">
      <c r="A1237" s="4"/>
      <c r="B1237" s="4"/>
      <c r="C1237" s="4"/>
      <c r="D1237" s="4"/>
      <c r="E1237" s="4"/>
      <c r="F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</row>
    <row r="1238" spans="1:21" ht="13" x14ac:dyDescent="0.15">
      <c r="A1238" s="4"/>
      <c r="B1238" s="4"/>
      <c r="C1238" s="4"/>
      <c r="D1238" s="4"/>
      <c r="E1238" s="4"/>
      <c r="F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</row>
    <row r="1239" spans="1:21" ht="13" x14ac:dyDescent="0.15">
      <c r="A1239" s="4"/>
      <c r="B1239" s="4"/>
      <c r="C1239" s="4"/>
      <c r="D1239" s="4"/>
      <c r="E1239" s="4"/>
      <c r="F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</row>
    <row r="1240" spans="1:21" ht="13" x14ac:dyDescent="0.15">
      <c r="A1240" s="4"/>
      <c r="B1240" s="4"/>
      <c r="C1240" s="4"/>
      <c r="D1240" s="4"/>
      <c r="E1240" s="4"/>
      <c r="F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</row>
    <row r="1241" spans="1:21" ht="13" x14ac:dyDescent="0.15">
      <c r="A1241" s="4"/>
      <c r="B1241" s="4"/>
      <c r="C1241" s="4"/>
      <c r="D1241" s="4"/>
      <c r="E1241" s="4"/>
      <c r="F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</row>
    <row r="1242" spans="1:21" ht="13" x14ac:dyDescent="0.15">
      <c r="A1242" s="4"/>
      <c r="B1242" s="4"/>
      <c r="C1242" s="4"/>
      <c r="D1242" s="4"/>
      <c r="E1242" s="4"/>
      <c r="F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</row>
    <row r="1243" spans="1:21" ht="13" x14ac:dyDescent="0.15">
      <c r="A1243" s="4"/>
      <c r="B1243" s="4"/>
      <c r="C1243" s="4"/>
      <c r="D1243" s="4"/>
      <c r="E1243" s="4"/>
      <c r="F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</row>
    <row r="1244" spans="1:21" ht="13" x14ac:dyDescent="0.15">
      <c r="A1244" s="4"/>
      <c r="B1244" s="4"/>
      <c r="C1244" s="4"/>
      <c r="D1244" s="4"/>
      <c r="E1244" s="4"/>
      <c r="F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</row>
    <row r="1245" spans="1:21" ht="13" x14ac:dyDescent="0.15">
      <c r="A1245" s="4"/>
      <c r="B1245" s="4"/>
      <c r="C1245" s="4"/>
      <c r="D1245" s="4"/>
      <c r="E1245" s="4"/>
      <c r="F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</row>
    <row r="1246" spans="1:21" ht="13" x14ac:dyDescent="0.15">
      <c r="A1246" s="4"/>
      <c r="B1246" s="4"/>
      <c r="C1246" s="4"/>
      <c r="D1246" s="4"/>
      <c r="E1246" s="4"/>
      <c r="F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</row>
    <row r="1247" spans="1:21" ht="13" x14ac:dyDescent="0.15">
      <c r="A1247" s="4"/>
      <c r="B1247" s="4"/>
      <c r="C1247" s="4"/>
      <c r="D1247" s="4"/>
      <c r="E1247" s="4"/>
      <c r="F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</row>
    <row r="1248" spans="1:21" ht="13" x14ac:dyDescent="0.15">
      <c r="A1248" s="4"/>
      <c r="B1248" s="4"/>
      <c r="C1248" s="4"/>
      <c r="D1248" s="4"/>
      <c r="E1248" s="4"/>
      <c r="F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</row>
    <row r="1249" spans="1:21" ht="13" x14ac:dyDescent="0.15">
      <c r="A1249" s="4"/>
      <c r="B1249" s="4"/>
      <c r="C1249" s="4"/>
      <c r="D1249" s="4"/>
      <c r="E1249" s="4"/>
      <c r="F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</row>
    <row r="1250" spans="1:21" ht="13" x14ac:dyDescent="0.15">
      <c r="A1250" s="4"/>
      <c r="B1250" s="4"/>
      <c r="C1250" s="4"/>
      <c r="D1250" s="4"/>
      <c r="E1250" s="4"/>
      <c r="F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</row>
    <row r="1251" spans="1:21" ht="13" x14ac:dyDescent="0.15">
      <c r="A1251" s="4"/>
      <c r="B1251" s="4"/>
      <c r="C1251" s="4"/>
      <c r="D1251" s="4"/>
      <c r="E1251" s="4"/>
      <c r="F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</row>
    <row r="1252" spans="1:21" ht="13" x14ac:dyDescent="0.15">
      <c r="A1252" s="4"/>
      <c r="B1252" s="4"/>
      <c r="C1252" s="4"/>
      <c r="D1252" s="4"/>
      <c r="E1252" s="4"/>
      <c r="F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</row>
    <row r="1253" spans="1:21" ht="13" x14ac:dyDescent="0.15">
      <c r="A1253" s="4"/>
      <c r="B1253" s="4"/>
      <c r="C1253" s="4"/>
      <c r="D1253" s="4"/>
      <c r="E1253" s="4"/>
      <c r="F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</row>
    <row r="1254" spans="1:21" ht="13" x14ac:dyDescent="0.15">
      <c r="A1254" s="4"/>
      <c r="B1254" s="4"/>
      <c r="C1254" s="4"/>
      <c r="D1254" s="4"/>
      <c r="E1254" s="4"/>
      <c r="F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</row>
    <row r="1255" spans="1:21" ht="13" x14ac:dyDescent="0.15">
      <c r="A1255" s="4"/>
      <c r="B1255" s="4"/>
      <c r="C1255" s="4"/>
      <c r="D1255" s="4"/>
      <c r="E1255" s="4"/>
      <c r="F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</row>
    <row r="1256" spans="1:21" ht="13" x14ac:dyDescent="0.15">
      <c r="A1256" s="4"/>
      <c r="B1256" s="4"/>
      <c r="C1256" s="4"/>
      <c r="D1256" s="4"/>
      <c r="E1256" s="4"/>
      <c r="F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</row>
    <row r="1257" spans="1:21" ht="13" x14ac:dyDescent="0.15">
      <c r="A1257" s="4"/>
      <c r="B1257" s="4"/>
      <c r="C1257" s="4"/>
      <c r="D1257" s="4"/>
      <c r="E1257" s="4"/>
      <c r="F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</row>
    <row r="1258" spans="1:21" ht="13" x14ac:dyDescent="0.15">
      <c r="A1258" s="4"/>
      <c r="B1258" s="4"/>
      <c r="C1258" s="4"/>
      <c r="D1258" s="4"/>
      <c r="E1258" s="4"/>
      <c r="F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</row>
    <row r="1259" spans="1:21" ht="13" x14ac:dyDescent="0.15">
      <c r="A1259" s="4"/>
      <c r="B1259" s="4"/>
      <c r="C1259" s="4"/>
      <c r="D1259" s="4"/>
      <c r="E1259" s="4"/>
      <c r="F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</row>
    <row r="1260" spans="1:21" ht="13" x14ac:dyDescent="0.15">
      <c r="A1260" s="4"/>
      <c r="B1260" s="4"/>
      <c r="C1260" s="4"/>
      <c r="D1260" s="4"/>
      <c r="E1260" s="4"/>
      <c r="F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</row>
    <row r="1261" spans="1:21" ht="13" x14ac:dyDescent="0.15">
      <c r="A1261" s="4"/>
      <c r="B1261" s="4"/>
      <c r="C1261" s="4"/>
      <c r="D1261" s="4"/>
      <c r="E1261" s="4"/>
      <c r="F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</row>
    <row r="1262" spans="1:21" ht="13" x14ac:dyDescent="0.15">
      <c r="A1262" s="4"/>
      <c r="B1262" s="4"/>
      <c r="C1262" s="4"/>
      <c r="D1262" s="4"/>
      <c r="E1262" s="4"/>
      <c r="F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</row>
    <row r="1263" spans="1:21" ht="13" x14ac:dyDescent="0.15">
      <c r="A1263" s="4"/>
      <c r="B1263" s="4"/>
      <c r="C1263" s="4"/>
      <c r="D1263" s="4"/>
      <c r="E1263" s="4"/>
      <c r="F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</row>
    <row r="1264" spans="1:21" ht="13" x14ac:dyDescent="0.15">
      <c r="A1264" s="4"/>
      <c r="B1264" s="4"/>
      <c r="C1264" s="4"/>
      <c r="D1264" s="4"/>
      <c r="E1264" s="4"/>
      <c r="F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</row>
    <row r="1265" spans="1:21" ht="13" x14ac:dyDescent="0.15">
      <c r="A1265" s="4"/>
      <c r="B1265" s="4"/>
      <c r="C1265" s="4"/>
      <c r="D1265" s="4"/>
      <c r="E1265" s="4"/>
      <c r="F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</row>
    <row r="1266" spans="1:21" ht="13" x14ac:dyDescent="0.15">
      <c r="A1266" s="4"/>
      <c r="B1266" s="4"/>
      <c r="C1266" s="4"/>
      <c r="D1266" s="4"/>
      <c r="E1266" s="4"/>
      <c r="F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</row>
    <row r="1267" spans="1:21" ht="13" x14ac:dyDescent="0.15">
      <c r="A1267" s="4"/>
      <c r="B1267" s="4"/>
      <c r="C1267" s="4"/>
      <c r="D1267" s="4"/>
      <c r="E1267" s="4"/>
      <c r="F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</row>
    <row r="1268" spans="1:21" ht="13" x14ac:dyDescent="0.15">
      <c r="A1268" s="4"/>
      <c r="B1268" s="4"/>
      <c r="C1268" s="4"/>
      <c r="D1268" s="4"/>
      <c r="E1268" s="4"/>
      <c r="F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</row>
    <row r="1269" spans="1:21" ht="13" x14ac:dyDescent="0.15">
      <c r="A1269" s="4"/>
      <c r="B1269" s="4"/>
      <c r="C1269" s="4"/>
      <c r="D1269" s="4"/>
      <c r="E1269" s="4"/>
      <c r="F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</row>
    <row r="1270" spans="1:21" ht="13" x14ac:dyDescent="0.15">
      <c r="A1270" s="4"/>
      <c r="B1270" s="4"/>
      <c r="C1270" s="4"/>
      <c r="D1270" s="4"/>
      <c r="E1270" s="4"/>
      <c r="F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</row>
    <row r="1271" spans="1:21" ht="13" x14ac:dyDescent="0.15">
      <c r="A1271" s="4"/>
      <c r="B1271" s="4"/>
      <c r="C1271" s="4"/>
      <c r="D1271" s="4"/>
      <c r="E1271" s="4"/>
      <c r="F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</row>
    <row r="1272" spans="1:21" ht="13" x14ac:dyDescent="0.15">
      <c r="A1272" s="4"/>
      <c r="B1272" s="4"/>
      <c r="C1272" s="4"/>
      <c r="D1272" s="4"/>
      <c r="E1272" s="4"/>
      <c r="F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</row>
    <row r="1273" spans="1:21" ht="13" x14ac:dyDescent="0.15">
      <c r="A1273" s="4"/>
      <c r="B1273" s="4"/>
      <c r="C1273" s="4"/>
      <c r="D1273" s="4"/>
      <c r="E1273" s="4"/>
      <c r="F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</row>
    <row r="1274" spans="1:21" ht="13" x14ac:dyDescent="0.15">
      <c r="A1274" s="4"/>
      <c r="B1274" s="4"/>
      <c r="C1274" s="4"/>
      <c r="D1274" s="4"/>
      <c r="E1274" s="4"/>
      <c r="F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</row>
    <row r="1275" spans="1:21" ht="13" x14ac:dyDescent="0.15">
      <c r="A1275" s="4"/>
      <c r="B1275" s="4"/>
      <c r="C1275" s="4"/>
      <c r="D1275" s="4"/>
      <c r="E1275" s="4"/>
      <c r="F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</row>
    <row r="1276" spans="1:21" ht="13" x14ac:dyDescent="0.15">
      <c r="A1276" s="4"/>
      <c r="B1276" s="4"/>
      <c r="C1276" s="4"/>
      <c r="D1276" s="4"/>
      <c r="E1276" s="4"/>
      <c r="F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</row>
    <row r="1277" spans="1:21" ht="13" x14ac:dyDescent="0.15">
      <c r="A1277" s="4"/>
      <c r="B1277" s="4"/>
      <c r="C1277" s="4"/>
      <c r="D1277" s="4"/>
      <c r="E1277" s="4"/>
      <c r="F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</row>
    <row r="1278" spans="1:21" ht="13" x14ac:dyDescent="0.15">
      <c r="A1278" s="4"/>
      <c r="B1278" s="4"/>
      <c r="C1278" s="4"/>
      <c r="D1278" s="4"/>
      <c r="E1278" s="4"/>
      <c r="F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</row>
    <row r="1279" spans="1:21" ht="13" x14ac:dyDescent="0.15">
      <c r="A1279" s="4"/>
      <c r="B1279" s="4"/>
      <c r="C1279" s="4"/>
      <c r="D1279" s="4"/>
      <c r="E1279" s="4"/>
      <c r="F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</row>
    <row r="1280" spans="1:21" ht="13" x14ac:dyDescent="0.15">
      <c r="A1280" s="4"/>
      <c r="B1280" s="4"/>
      <c r="C1280" s="4"/>
      <c r="D1280" s="4"/>
      <c r="E1280" s="4"/>
      <c r="F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</row>
    <row r="1281" spans="1:21" ht="13" x14ac:dyDescent="0.15">
      <c r="A1281" s="4"/>
      <c r="B1281" s="4"/>
      <c r="C1281" s="4"/>
      <c r="D1281" s="4"/>
      <c r="E1281" s="4"/>
      <c r="F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</row>
    <row r="1282" spans="1:21" ht="13" x14ac:dyDescent="0.15">
      <c r="A1282" s="4"/>
      <c r="B1282" s="4"/>
      <c r="C1282" s="4"/>
      <c r="D1282" s="4"/>
      <c r="E1282" s="4"/>
      <c r="F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</row>
    <row r="1283" spans="1:21" ht="13" x14ac:dyDescent="0.15">
      <c r="A1283" s="4"/>
      <c r="B1283" s="4"/>
      <c r="C1283" s="4"/>
      <c r="D1283" s="4"/>
      <c r="E1283" s="4"/>
      <c r="F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</row>
    <row r="1284" spans="1:21" ht="13" x14ac:dyDescent="0.15">
      <c r="A1284" s="4"/>
      <c r="B1284" s="4"/>
      <c r="C1284" s="4"/>
      <c r="D1284" s="4"/>
      <c r="E1284" s="4"/>
      <c r="F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</row>
    <row r="1285" spans="1:21" ht="13" x14ac:dyDescent="0.15">
      <c r="A1285" s="4"/>
      <c r="B1285" s="4"/>
      <c r="C1285" s="4"/>
      <c r="D1285" s="4"/>
      <c r="E1285" s="4"/>
      <c r="F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</row>
    <row r="1286" spans="1:21" ht="13" x14ac:dyDescent="0.15">
      <c r="A1286" s="4"/>
      <c r="B1286" s="4"/>
      <c r="C1286" s="4"/>
      <c r="D1286" s="4"/>
      <c r="E1286" s="4"/>
      <c r="F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</row>
    <row r="1287" spans="1:21" ht="13" x14ac:dyDescent="0.15">
      <c r="A1287" s="4"/>
      <c r="B1287" s="4"/>
      <c r="C1287" s="4"/>
      <c r="D1287" s="4"/>
      <c r="E1287" s="4"/>
      <c r="F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</row>
    <row r="1288" spans="1:21" ht="13" x14ac:dyDescent="0.15">
      <c r="A1288" s="4"/>
      <c r="B1288" s="4"/>
      <c r="C1288" s="4"/>
      <c r="D1288" s="4"/>
      <c r="E1288" s="4"/>
      <c r="F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</row>
    <row r="1289" spans="1:21" ht="13" x14ac:dyDescent="0.15">
      <c r="A1289" s="4"/>
      <c r="B1289" s="4"/>
      <c r="C1289" s="4"/>
      <c r="D1289" s="4"/>
      <c r="E1289" s="4"/>
      <c r="F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</row>
    <row r="1290" spans="1:21" ht="13" x14ac:dyDescent="0.15">
      <c r="A1290" s="4"/>
      <c r="B1290" s="4"/>
      <c r="C1290" s="4"/>
      <c r="D1290" s="4"/>
      <c r="E1290" s="4"/>
      <c r="F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</row>
    <row r="1291" spans="1:21" ht="13" x14ac:dyDescent="0.15">
      <c r="A1291" s="4"/>
      <c r="B1291" s="4"/>
      <c r="C1291" s="4"/>
      <c r="D1291" s="4"/>
      <c r="E1291" s="4"/>
      <c r="F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</row>
    <row r="1292" spans="1:21" ht="13" x14ac:dyDescent="0.15">
      <c r="A1292" s="4"/>
      <c r="B1292" s="4"/>
      <c r="C1292" s="4"/>
      <c r="D1292" s="4"/>
      <c r="E1292" s="4"/>
      <c r="F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</row>
    <row r="1293" spans="1:21" ht="13" x14ac:dyDescent="0.15">
      <c r="A1293" s="4"/>
      <c r="B1293" s="4"/>
      <c r="C1293" s="4"/>
      <c r="D1293" s="4"/>
      <c r="E1293" s="4"/>
      <c r="F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</row>
    <row r="1294" spans="1:21" ht="13" x14ac:dyDescent="0.15">
      <c r="A1294" s="4"/>
      <c r="B1294" s="4"/>
      <c r="C1294" s="4"/>
      <c r="D1294" s="4"/>
      <c r="E1294" s="4"/>
      <c r="F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</row>
    <row r="1295" spans="1:21" ht="13" x14ac:dyDescent="0.15">
      <c r="A1295" s="4"/>
      <c r="B1295" s="4"/>
      <c r="C1295" s="4"/>
      <c r="D1295" s="4"/>
      <c r="E1295" s="4"/>
      <c r="F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</row>
    <row r="1296" spans="1:21" ht="13" x14ac:dyDescent="0.15">
      <c r="A1296" s="4"/>
      <c r="B1296" s="4"/>
      <c r="C1296" s="4"/>
      <c r="D1296" s="4"/>
      <c r="E1296" s="4"/>
      <c r="F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</row>
    <row r="1297" spans="1:21" ht="13" x14ac:dyDescent="0.15">
      <c r="A1297" s="4"/>
      <c r="B1297" s="4"/>
      <c r="C1297" s="4"/>
      <c r="D1297" s="4"/>
      <c r="E1297" s="4"/>
      <c r="F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</row>
    <row r="1298" spans="1:21" ht="13" x14ac:dyDescent="0.15">
      <c r="A1298" s="4"/>
      <c r="B1298" s="4"/>
      <c r="C1298" s="4"/>
      <c r="D1298" s="4"/>
      <c r="E1298" s="4"/>
      <c r="F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</row>
    <row r="1299" spans="1:21" ht="13" x14ac:dyDescent="0.15">
      <c r="A1299" s="4"/>
      <c r="B1299" s="4"/>
      <c r="C1299" s="4"/>
      <c r="D1299" s="4"/>
      <c r="E1299" s="4"/>
      <c r="F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</row>
    <row r="1300" spans="1:21" ht="13" x14ac:dyDescent="0.15">
      <c r="A1300" s="4"/>
      <c r="B1300" s="4"/>
      <c r="C1300" s="4"/>
      <c r="D1300" s="4"/>
      <c r="E1300" s="4"/>
      <c r="F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</row>
    <row r="1301" spans="1:21" ht="13" x14ac:dyDescent="0.15">
      <c r="A1301" s="4"/>
      <c r="B1301" s="4"/>
      <c r="C1301" s="4"/>
      <c r="D1301" s="4"/>
      <c r="E1301" s="4"/>
      <c r="F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</row>
    <row r="1302" spans="1:21" ht="13" x14ac:dyDescent="0.15">
      <c r="A1302" s="4"/>
      <c r="B1302" s="4"/>
      <c r="C1302" s="4"/>
      <c r="D1302" s="4"/>
      <c r="E1302" s="4"/>
      <c r="F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</row>
    <row r="1303" spans="1:21" ht="13" x14ac:dyDescent="0.15">
      <c r="A1303" s="4"/>
      <c r="B1303" s="4"/>
      <c r="C1303" s="4"/>
      <c r="D1303" s="4"/>
      <c r="E1303" s="4"/>
      <c r="F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</row>
    <row r="1304" spans="1:21" ht="13" x14ac:dyDescent="0.15">
      <c r="A1304" s="4"/>
      <c r="B1304" s="4"/>
      <c r="C1304" s="4"/>
      <c r="D1304" s="4"/>
      <c r="E1304" s="4"/>
      <c r="F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</row>
    <row r="1305" spans="1:21" ht="13" x14ac:dyDescent="0.15">
      <c r="A1305" s="4"/>
      <c r="B1305" s="4"/>
      <c r="C1305" s="4"/>
      <c r="D1305" s="4"/>
      <c r="E1305" s="4"/>
      <c r="F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</row>
    <row r="1306" spans="1:21" ht="13" x14ac:dyDescent="0.15">
      <c r="A1306" s="4"/>
      <c r="B1306" s="4"/>
      <c r="C1306" s="4"/>
      <c r="D1306" s="4"/>
      <c r="E1306" s="4"/>
      <c r="F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</row>
    <row r="1307" spans="1:21" ht="13" x14ac:dyDescent="0.15">
      <c r="A1307" s="4"/>
      <c r="B1307" s="4"/>
      <c r="C1307" s="4"/>
      <c r="D1307" s="4"/>
      <c r="E1307" s="4"/>
      <c r="F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</row>
    <row r="1308" spans="1:21" ht="13" x14ac:dyDescent="0.15">
      <c r="A1308" s="4"/>
      <c r="B1308" s="4"/>
      <c r="C1308" s="4"/>
      <c r="D1308" s="4"/>
      <c r="E1308" s="4"/>
      <c r="F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</row>
    <row r="1309" spans="1:21" ht="13" x14ac:dyDescent="0.15">
      <c r="A1309" s="4"/>
      <c r="B1309" s="4"/>
      <c r="C1309" s="4"/>
      <c r="D1309" s="4"/>
      <c r="E1309" s="4"/>
      <c r="F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</row>
    <row r="1310" spans="1:21" ht="13" x14ac:dyDescent="0.15">
      <c r="A1310" s="4"/>
      <c r="B1310" s="4"/>
      <c r="C1310" s="4"/>
      <c r="D1310" s="4"/>
      <c r="E1310" s="4"/>
      <c r="F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</row>
    <row r="1311" spans="1:21" ht="13" x14ac:dyDescent="0.15">
      <c r="A1311" s="4"/>
      <c r="B1311" s="4"/>
      <c r="C1311" s="4"/>
      <c r="D1311" s="4"/>
      <c r="E1311" s="4"/>
      <c r="F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</row>
    <row r="1312" spans="1:21" ht="13" x14ac:dyDescent="0.15">
      <c r="A1312" s="4"/>
      <c r="B1312" s="4"/>
      <c r="C1312" s="4"/>
      <c r="D1312" s="4"/>
      <c r="E1312" s="4"/>
      <c r="F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</row>
    <row r="1313" spans="1:21" ht="13" x14ac:dyDescent="0.15">
      <c r="A1313" s="4"/>
      <c r="B1313" s="4"/>
      <c r="C1313" s="4"/>
      <c r="D1313" s="4"/>
      <c r="E1313" s="4"/>
      <c r="F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</row>
    <row r="1314" spans="1:21" ht="13" x14ac:dyDescent="0.15">
      <c r="A1314" s="4"/>
      <c r="B1314" s="4"/>
      <c r="C1314" s="4"/>
      <c r="D1314" s="4"/>
      <c r="E1314" s="4"/>
      <c r="F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</row>
    <row r="1315" spans="1:21" ht="13" x14ac:dyDescent="0.15">
      <c r="A1315" s="4"/>
      <c r="B1315" s="4"/>
      <c r="C1315" s="4"/>
      <c r="D1315" s="4"/>
      <c r="E1315" s="4"/>
      <c r="F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</row>
    <row r="1316" spans="1:21" ht="13" x14ac:dyDescent="0.15">
      <c r="A1316" s="4"/>
      <c r="B1316" s="4"/>
      <c r="C1316" s="4"/>
      <c r="D1316" s="4"/>
      <c r="E1316" s="4"/>
      <c r="F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</row>
    <row r="1317" spans="1:21" ht="13" x14ac:dyDescent="0.15">
      <c r="A1317" s="4"/>
      <c r="B1317" s="4"/>
      <c r="C1317" s="4"/>
      <c r="D1317" s="4"/>
      <c r="E1317" s="4"/>
      <c r="F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</row>
    <row r="1318" spans="1:21" ht="13" x14ac:dyDescent="0.15">
      <c r="A1318" s="4"/>
      <c r="B1318" s="4"/>
      <c r="C1318" s="4"/>
      <c r="D1318" s="4"/>
      <c r="E1318" s="4"/>
      <c r="F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</row>
    <row r="1319" spans="1:21" ht="13" x14ac:dyDescent="0.15">
      <c r="A1319" s="4"/>
      <c r="B1319" s="4"/>
      <c r="C1319" s="4"/>
      <c r="D1319" s="4"/>
      <c r="E1319" s="4"/>
      <c r="F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</row>
    <row r="1320" spans="1:21" ht="13" x14ac:dyDescent="0.15">
      <c r="A1320" s="4"/>
      <c r="B1320" s="4"/>
      <c r="C1320" s="4"/>
      <c r="D1320" s="4"/>
      <c r="E1320" s="4"/>
      <c r="F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</row>
    <row r="1321" spans="1:21" ht="13" x14ac:dyDescent="0.15">
      <c r="A1321" s="4"/>
      <c r="B1321" s="4"/>
      <c r="C1321" s="4"/>
      <c r="D1321" s="4"/>
      <c r="E1321" s="4"/>
      <c r="F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</row>
    <row r="1322" spans="1:21" ht="13" x14ac:dyDescent="0.15">
      <c r="A1322" s="4"/>
      <c r="B1322" s="4"/>
      <c r="C1322" s="4"/>
      <c r="D1322" s="4"/>
      <c r="E1322" s="4"/>
      <c r="F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</row>
    <row r="1323" spans="1:21" ht="13" x14ac:dyDescent="0.15">
      <c r="A1323" s="4"/>
      <c r="B1323" s="4"/>
      <c r="C1323" s="4"/>
      <c r="D1323" s="4"/>
      <c r="E1323" s="4"/>
      <c r="F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</row>
    <row r="1324" spans="1:21" ht="13" x14ac:dyDescent="0.15">
      <c r="A1324" s="4"/>
      <c r="B1324" s="4"/>
      <c r="C1324" s="4"/>
      <c r="D1324" s="4"/>
      <c r="E1324" s="4"/>
      <c r="F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</row>
    <row r="1325" spans="1:21" ht="13" x14ac:dyDescent="0.15">
      <c r="A1325" s="4"/>
      <c r="B1325" s="4"/>
      <c r="C1325" s="4"/>
      <c r="D1325" s="4"/>
      <c r="E1325" s="4"/>
      <c r="F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</row>
    <row r="1326" spans="1:21" ht="13" x14ac:dyDescent="0.15">
      <c r="A1326" s="4"/>
      <c r="B1326" s="4"/>
      <c r="C1326" s="4"/>
      <c r="D1326" s="4"/>
      <c r="E1326" s="4"/>
      <c r="F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</row>
    <row r="1327" spans="1:21" ht="13" x14ac:dyDescent="0.15">
      <c r="A1327" s="4"/>
      <c r="B1327" s="4"/>
      <c r="C1327" s="4"/>
      <c r="D1327" s="4"/>
      <c r="E1327" s="4"/>
      <c r="F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</row>
    <row r="1328" spans="1:21" ht="13" x14ac:dyDescent="0.15">
      <c r="A1328" s="4"/>
      <c r="B1328" s="4"/>
      <c r="C1328" s="4"/>
      <c r="D1328" s="4"/>
      <c r="E1328" s="4"/>
      <c r="F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</row>
    <row r="1329" spans="1:21" ht="13" x14ac:dyDescent="0.15">
      <c r="A1329" s="4"/>
      <c r="B1329" s="4"/>
      <c r="C1329" s="4"/>
      <c r="D1329" s="4"/>
      <c r="E1329" s="4"/>
      <c r="F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</row>
    <row r="1330" spans="1:21" ht="13" x14ac:dyDescent="0.15">
      <c r="A1330" s="4"/>
      <c r="B1330" s="4"/>
      <c r="C1330" s="4"/>
      <c r="D1330" s="4"/>
      <c r="E1330" s="4"/>
      <c r="F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</row>
    <row r="1331" spans="1:21" ht="13" x14ac:dyDescent="0.15">
      <c r="A1331" s="4"/>
      <c r="B1331" s="4"/>
      <c r="C1331" s="4"/>
      <c r="D1331" s="4"/>
      <c r="E1331" s="4"/>
      <c r="F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</row>
    <row r="1332" spans="1:21" ht="13" x14ac:dyDescent="0.15">
      <c r="A1332" s="4"/>
      <c r="B1332" s="4"/>
      <c r="C1332" s="4"/>
      <c r="D1332" s="4"/>
      <c r="E1332" s="4"/>
      <c r="F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</row>
    <row r="1333" spans="1:21" ht="13" x14ac:dyDescent="0.15">
      <c r="A1333" s="4"/>
      <c r="B1333" s="4"/>
      <c r="C1333" s="4"/>
      <c r="D1333" s="4"/>
      <c r="E1333" s="4"/>
      <c r="F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</row>
    <row r="1334" spans="1:21" ht="13" x14ac:dyDescent="0.15">
      <c r="A1334" s="4"/>
      <c r="B1334" s="4"/>
      <c r="C1334" s="4"/>
      <c r="D1334" s="4"/>
      <c r="E1334" s="4"/>
      <c r="F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</row>
    <row r="1335" spans="1:21" ht="13" x14ac:dyDescent="0.15">
      <c r="A1335" s="4"/>
      <c r="B1335" s="4"/>
      <c r="C1335" s="4"/>
      <c r="D1335" s="4"/>
      <c r="E1335" s="4"/>
      <c r="F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</row>
    <row r="1336" spans="1:21" ht="13" x14ac:dyDescent="0.15">
      <c r="A1336" s="4"/>
      <c r="B1336" s="4"/>
      <c r="C1336" s="4"/>
      <c r="D1336" s="4"/>
      <c r="E1336" s="4"/>
      <c r="F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</row>
    <row r="1337" spans="1:21" ht="13" x14ac:dyDescent="0.15">
      <c r="A1337" s="4"/>
      <c r="B1337" s="4"/>
      <c r="C1337" s="4"/>
      <c r="D1337" s="4"/>
      <c r="E1337" s="4"/>
      <c r="F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</row>
    <row r="1338" spans="1:21" ht="13" x14ac:dyDescent="0.15">
      <c r="A1338" s="4"/>
      <c r="B1338" s="4"/>
      <c r="C1338" s="4"/>
      <c r="D1338" s="4"/>
      <c r="E1338" s="4"/>
      <c r="F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</row>
    <row r="1339" spans="1:21" ht="13" x14ac:dyDescent="0.15">
      <c r="A1339" s="4"/>
      <c r="B1339" s="4"/>
      <c r="C1339" s="4"/>
      <c r="D1339" s="4"/>
      <c r="E1339" s="4"/>
      <c r="F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</row>
    <row r="1340" spans="1:21" ht="13" x14ac:dyDescent="0.15">
      <c r="A1340" s="4"/>
      <c r="B1340" s="4"/>
      <c r="C1340" s="4"/>
      <c r="D1340" s="4"/>
      <c r="E1340" s="4"/>
      <c r="F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</row>
    <row r="1341" spans="1:21" ht="13" x14ac:dyDescent="0.15">
      <c r="A1341" s="4"/>
      <c r="B1341" s="4"/>
      <c r="C1341" s="4"/>
      <c r="D1341" s="4"/>
      <c r="E1341" s="4"/>
      <c r="F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</row>
    <row r="1342" spans="1:21" ht="13" x14ac:dyDescent="0.15">
      <c r="A1342" s="4"/>
      <c r="B1342" s="4"/>
      <c r="C1342" s="4"/>
      <c r="D1342" s="4"/>
      <c r="E1342" s="4"/>
      <c r="F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</row>
    <row r="1343" spans="1:21" ht="13" x14ac:dyDescent="0.15">
      <c r="A1343" s="4"/>
      <c r="B1343" s="4"/>
      <c r="C1343" s="4"/>
      <c r="D1343" s="4"/>
      <c r="E1343" s="4"/>
      <c r="F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</row>
    <row r="1344" spans="1:21" ht="13" x14ac:dyDescent="0.15">
      <c r="A1344" s="4"/>
      <c r="B1344" s="4"/>
      <c r="C1344" s="4"/>
      <c r="D1344" s="4"/>
      <c r="E1344" s="4"/>
      <c r="F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</row>
    <row r="1345" spans="1:21" ht="13" x14ac:dyDescent="0.15">
      <c r="A1345" s="4"/>
      <c r="B1345" s="4"/>
      <c r="C1345" s="4"/>
      <c r="D1345" s="4"/>
      <c r="E1345" s="4"/>
      <c r="F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</row>
    <row r="1346" spans="1:21" ht="13" x14ac:dyDescent="0.15">
      <c r="A1346" s="4"/>
      <c r="B1346" s="4"/>
      <c r="C1346" s="4"/>
      <c r="D1346" s="4"/>
      <c r="E1346" s="4"/>
      <c r="F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</row>
    <row r="1347" spans="1:21" ht="13" x14ac:dyDescent="0.15">
      <c r="A1347" s="4"/>
      <c r="B1347" s="4"/>
      <c r="C1347" s="4"/>
      <c r="D1347" s="4"/>
      <c r="E1347" s="4"/>
      <c r="F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</row>
    <row r="1348" spans="1:21" ht="13" x14ac:dyDescent="0.15">
      <c r="A1348" s="4"/>
      <c r="B1348" s="4"/>
      <c r="C1348" s="4"/>
      <c r="D1348" s="4"/>
      <c r="E1348" s="4"/>
      <c r="F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</row>
    <row r="1349" spans="1:21" ht="13" x14ac:dyDescent="0.15">
      <c r="A1349" s="4"/>
      <c r="B1349" s="4"/>
      <c r="C1349" s="4"/>
      <c r="D1349" s="4"/>
      <c r="E1349" s="4"/>
      <c r="F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</row>
    <row r="1350" spans="1:21" ht="13" x14ac:dyDescent="0.15">
      <c r="A1350" s="4"/>
      <c r="B1350" s="4"/>
      <c r="C1350" s="4"/>
      <c r="D1350" s="4"/>
      <c r="E1350" s="4"/>
      <c r="F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</row>
    <row r="1351" spans="1:21" ht="13" x14ac:dyDescent="0.15">
      <c r="A1351" s="4"/>
      <c r="B1351" s="4"/>
      <c r="C1351" s="4"/>
      <c r="D1351" s="4"/>
      <c r="E1351" s="4"/>
      <c r="F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</row>
    <row r="1352" spans="1:21" ht="13" x14ac:dyDescent="0.15">
      <c r="A1352" s="4"/>
      <c r="B1352" s="4"/>
      <c r="C1352" s="4"/>
      <c r="D1352" s="4"/>
      <c r="E1352" s="4"/>
      <c r="F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</row>
    <row r="1353" spans="1:21" ht="13" x14ac:dyDescent="0.15">
      <c r="A1353" s="4"/>
      <c r="B1353" s="4"/>
      <c r="C1353" s="4"/>
      <c r="D1353" s="4"/>
      <c r="E1353" s="4"/>
      <c r="F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</row>
    <row r="1354" spans="1:21" ht="13" x14ac:dyDescent="0.15">
      <c r="A1354" s="4"/>
      <c r="B1354" s="4"/>
      <c r="C1354" s="4"/>
      <c r="D1354" s="4"/>
      <c r="E1354" s="4"/>
      <c r="F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</row>
    <row r="1355" spans="1:21" ht="13" x14ac:dyDescent="0.15">
      <c r="A1355" s="4"/>
      <c r="B1355" s="4"/>
      <c r="C1355" s="4"/>
      <c r="D1355" s="4"/>
      <c r="E1355" s="4"/>
      <c r="F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</row>
    <row r="1356" spans="1:21" ht="13" x14ac:dyDescent="0.15">
      <c r="A1356" s="4"/>
      <c r="B1356" s="4"/>
      <c r="C1356" s="4"/>
      <c r="D1356" s="4"/>
      <c r="E1356" s="4"/>
      <c r="F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</row>
    <row r="1357" spans="1:21" ht="13" x14ac:dyDescent="0.15">
      <c r="A1357" s="4"/>
      <c r="B1357" s="4"/>
      <c r="C1357" s="4"/>
      <c r="D1357" s="4"/>
      <c r="E1357" s="4"/>
      <c r="F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</row>
    <row r="1358" spans="1:21" ht="13" x14ac:dyDescent="0.15">
      <c r="A1358" s="4"/>
      <c r="B1358" s="4"/>
      <c r="C1358" s="4"/>
      <c r="D1358" s="4"/>
      <c r="E1358" s="4"/>
      <c r="F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</row>
    <row r="1359" spans="1:21" ht="13" x14ac:dyDescent="0.15">
      <c r="A1359" s="4"/>
      <c r="B1359" s="4"/>
      <c r="C1359" s="4"/>
      <c r="D1359" s="4"/>
      <c r="E1359" s="4"/>
      <c r="F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</row>
    <row r="1360" spans="1:21" ht="13" x14ac:dyDescent="0.15">
      <c r="A1360" s="4"/>
      <c r="B1360" s="4"/>
      <c r="C1360" s="4"/>
      <c r="D1360" s="4"/>
      <c r="E1360" s="4"/>
      <c r="F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</row>
    <row r="1361" spans="1:21" ht="13" x14ac:dyDescent="0.15">
      <c r="A1361" s="4"/>
      <c r="B1361" s="4"/>
      <c r="C1361" s="4"/>
      <c r="D1361" s="4"/>
      <c r="E1361" s="4"/>
      <c r="F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</row>
    <row r="1362" spans="1:21" ht="13" x14ac:dyDescent="0.15">
      <c r="A1362" s="4"/>
      <c r="B1362" s="4"/>
      <c r="C1362" s="4"/>
      <c r="D1362" s="4"/>
      <c r="E1362" s="4"/>
      <c r="F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</row>
    <row r="1363" spans="1:21" ht="13" x14ac:dyDescent="0.15">
      <c r="A1363" s="4"/>
      <c r="B1363" s="4"/>
      <c r="C1363" s="4"/>
      <c r="D1363" s="4"/>
      <c r="E1363" s="4"/>
      <c r="F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</row>
    <row r="1364" spans="1:21" ht="13" x14ac:dyDescent="0.15">
      <c r="A1364" s="4"/>
      <c r="B1364" s="4"/>
      <c r="C1364" s="4"/>
      <c r="D1364" s="4"/>
      <c r="E1364" s="4"/>
      <c r="F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</row>
    <row r="1365" spans="1:21" ht="13" x14ac:dyDescent="0.15">
      <c r="A1365" s="4"/>
      <c r="B1365" s="4"/>
      <c r="C1365" s="4"/>
      <c r="D1365" s="4"/>
      <c r="E1365" s="4"/>
      <c r="F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</row>
    <row r="1366" spans="1:21" ht="13" x14ac:dyDescent="0.15">
      <c r="A1366" s="4"/>
      <c r="B1366" s="4"/>
      <c r="C1366" s="4"/>
      <c r="D1366" s="4"/>
      <c r="E1366" s="4"/>
      <c r="F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</row>
    <row r="1367" spans="1:21" ht="13" x14ac:dyDescent="0.15">
      <c r="A1367" s="4"/>
      <c r="B1367" s="4"/>
      <c r="C1367" s="4"/>
      <c r="D1367" s="4"/>
      <c r="E1367" s="4"/>
      <c r="F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</row>
    <row r="1368" spans="1:21" ht="13" x14ac:dyDescent="0.15">
      <c r="A1368" s="4"/>
      <c r="B1368" s="4"/>
      <c r="C1368" s="4"/>
      <c r="D1368" s="4"/>
      <c r="E1368" s="4"/>
      <c r="F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</row>
    <row r="1369" spans="1:21" ht="13" x14ac:dyDescent="0.15">
      <c r="A1369" s="4"/>
      <c r="B1369" s="4"/>
      <c r="C1369" s="4"/>
      <c r="D1369" s="4"/>
      <c r="E1369" s="4"/>
      <c r="F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</row>
    <row r="1370" spans="1:21" ht="13" x14ac:dyDescent="0.15">
      <c r="A1370" s="4"/>
      <c r="B1370" s="4"/>
      <c r="C1370" s="4"/>
      <c r="D1370" s="4"/>
      <c r="E1370" s="4"/>
      <c r="F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</row>
    <row r="1371" spans="1:21" ht="13" x14ac:dyDescent="0.15">
      <c r="A1371" s="4"/>
      <c r="B1371" s="4"/>
      <c r="C1371" s="4"/>
      <c r="D1371" s="4"/>
      <c r="E1371" s="4"/>
      <c r="F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</row>
    <row r="1372" spans="1:21" ht="13" x14ac:dyDescent="0.15">
      <c r="A1372" s="4"/>
      <c r="B1372" s="4"/>
      <c r="C1372" s="4"/>
      <c r="D1372" s="4"/>
      <c r="E1372" s="4"/>
      <c r="F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</row>
    <row r="1373" spans="1:21" ht="13" x14ac:dyDescent="0.15">
      <c r="A1373" s="4"/>
      <c r="B1373" s="4"/>
      <c r="C1373" s="4"/>
      <c r="D1373" s="4"/>
      <c r="E1373" s="4"/>
      <c r="F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</row>
    <row r="1374" spans="1:21" ht="13" x14ac:dyDescent="0.15">
      <c r="A1374" s="4"/>
      <c r="B1374" s="4"/>
      <c r="C1374" s="4"/>
      <c r="D1374" s="4"/>
      <c r="E1374" s="4"/>
      <c r="F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</row>
    <row r="1375" spans="1:21" ht="13" x14ac:dyDescent="0.15">
      <c r="A1375" s="4"/>
      <c r="B1375" s="4"/>
      <c r="C1375" s="4"/>
      <c r="D1375" s="4"/>
      <c r="E1375" s="4"/>
      <c r="F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</row>
    <row r="1376" spans="1:21" ht="13" x14ac:dyDescent="0.15">
      <c r="A1376" s="4"/>
      <c r="B1376" s="4"/>
      <c r="C1376" s="4"/>
      <c r="D1376" s="4"/>
      <c r="E1376" s="4"/>
      <c r="F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</row>
    <row r="1377" spans="1:21" ht="13" x14ac:dyDescent="0.15">
      <c r="A1377" s="4"/>
      <c r="B1377" s="4"/>
      <c r="C1377" s="4"/>
      <c r="D1377" s="4"/>
      <c r="E1377" s="4"/>
      <c r="F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</row>
    <row r="1378" spans="1:21" ht="13" x14ac:dyDescent="0.15">
      <c r="A1378" s="4"/>
      <c r="B1378" s="4"/>
      <c r="C1378" s="4"/>
      <c r="D1378" s="4"/>
      <c r="E1378" s="4"/>
      <c r="F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</row>
    <row r="1379" spans="1:21" ht="13" x14ac:dyDescent="0.15">
      <c r="A1379" s="4"/>
      <c r="B1379" s="4"/>
      <c r="C1379" s="4"/>
      <c r="D1379" s="4"/>
      <c r="E1379" s="4"/>
      <c r="F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</row>
    <row r="1380" spans="1:21" ht="13" x14ac:dyDescent="0.15">
      <c r="A1380" s="4"/>
      <c r="B1380" s="4"/>
      <c r="C1380" s="4"/>
      <c r="D1380" s="4"/>
      <c r="E1380" s="4"/>
      <c r="F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</row>
    <row r="1381" spans="1:21" ht="13" x14ac:dyDescent="0.15">
      <c r="A1381" s="4"/>
      <c r="B1381" s="4"/>
      <c r="C1381" s="4"/>
      <c r="D1381" s="4"/>
      <c r="E1381" s="4"/>
      <c r="F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</row>
    <row r="1382" spans="1:21" ht="13" x14ac:dyDescent="0.15">
      <c r="A1382" s="4"/>
      <c r="B1382" s="4"/>
      <c r="C1382" s="4"/>
      <c r="D1382" s="4"/>
      <c r="E1382" s="4"/>
      <c r="F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</row>
    <row r="1383" spans="1:21" ht="13" x14ac:dyDescent="0.15">
      <c r="A1383" s="4"/>
      <c r="B1383" s="4"/>
      <c r="C1383" s="4"/>
      <c r="D1383" s="4"/>
      <c r="E1383" s="4"/>
      <c r="F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</row>
    <row r="1384" spans="1:21" ht="13" x14ac:dyDescent="0.15">
      <c r="A1384" s="4"/>
      <c r="B1384" s="4"/>
      <c r="C1384" s="4"/>
      <c r="D1384" s="4"/>
      <c r="E1384" s="4"/>
      <c r="F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</row>
    <row r="1385" spans="1:21" ht="13" x14ac:dyDescent="0.15">
      <c r="A1385" s="4"/>
      <c r="B1385" s="4"/>
      <c r="C1385" s="4"/>
      <c r="D1385" s="4"/>
      <c r="E1385" s="4"/>
      <c r="F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</row>
    <row r="1386" spans="1:21" ht="13" x14ac:dyDescent="0.15">
      <c r="A1386" s="4"/>
      <c r="B1386" s="4"/>
      <c r="C1386" s="4"/>
      <c r="D1386" s="4"/>
      <c r="E1386" s="4"/>
      <c r="F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</row>
    <row r="1387" spans="1:21" ht="13" x14ac:dyDescent="0.15">
      <c r="A1387" s="4"/>
      <c r="B1387" s="4"/>
      <c r="C1387" s="4"/>
      <c r="D1387" s="4"/>
      <c r="E1387" s="4"/>
      <c r="F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</row>
    <row r="1388" spans="1:21" ht="13" x14ac:dyDescent="0.15">
      <c r="A1388" s="4"/>
      <c r="B1388" s="4"/>
      <c r="C1388" s="4"/>
      <c r="D1388" s="4"/>
      <c r="E1388" s="4"/>
      <c r="F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</row>
    <row r="1389" spans="1:21" ht="13" x14ac:dyDescent="0.15">
      <c r="A1389" s="4"/>
      <c r="B1389" s="4"/>
      <c r="C1389" s="4"/>
      <c r="D1389" s="4"/>
      <c r="E1389" s="4"/>
      <c r="F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</row>
    <row r="1390" spans="1:21" ht="13" x14ac:dyDescent="0.15">
      <c r="A1390" s="4"/>
      <c r="B1390" s="4"/>
      <c r="C1390" s="4"/>
      <c r="D1390" s="4"/>
      <c r="E1390" s="4"/>
      <c r="F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</row>
    <row r="1391" spans="1:21" ht="13" x14ac:dyDescent="0.15">
      <c r="A1391" s="4"/>
      <c r="B1391" s="4"/>
      <c r="C1391" s="4"/>
      <c r="D1391" s="4"/>
      <c r="E1391" s="4"/>
      <c r="F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</row>
    <row r="1392" spans="1:21" ht="13" x14ac:dyDescent="0.15">
      <c r="A1392" s="4"/>
      <c r="B1392" s="4"/>
      <c r="C1392" s="4"/>
      <c r="D1392" s="4"/>
      <c r="E1392" s="4"/>
      <c r="F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</row>
    <row r="1393" spans="1:21" ht="13" x14ac:dyDescent="0.15">
      <c r="A1393" s="4"/>
      <c r="B1393" s="4"/>
      <c r="C1393" s="4"/>
      <c r="D1393" s="4"/>
      <c r="E1393" s="4"/>
      <c r="F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</row>
    <row r="1394" spans="1:21" ht="13" x14ac:dyDescent="0.15">
      <c r="A1394" s="4"/>
      <c r="B1394" s="4"/>
      <c r="C1394" s="4"/>
      <c r="D1394" s="4"/>
      <c r="E1394" s="4"/>
      <c r="F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</row>
    <row r="1395" spans="1:21" ht="13" x14ac:dyDescent="0.15">
      <c r="A1395" s="4"/>
      <c r="B1395" s="4"/>
      <c r="C1395" s="4"/>
      <c r="D1395" s="4"/>
      <c r="E1395" s="4"/>
      <c r="F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</row>
    <row r="1396" spans="1:21" ht="13" x14ac:dyDescent="0.15">
      <c r="A1396" s="4"/>
      <c r="B1396" s="4"/>
      <c r="C1396" s="4"/>
      <c r="D1396" s="4"/>
      <c r="E1396" s="4"/>
      <c r="F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</row>
    <row r="1397" spans="1:21" ht="13" x14ac:dyDescent="0.15">
      <c r="A1397" s="4"/>
      <c r="B1397" s="4"/>
      <c r="C1397" s="4"/>
      <c r="D1397" s="4"/>
      <c r="E1397" s="4"/>
      <c r="F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</row>
    <row r="1398" spans="1:21" ht="13" x14ac:dyDescent="0.15">
      <c r="A1398" s="4"/>
      <c r="B1398" s="4"/>
      <c r="C1398" s="4"/>
      <c r="D1398" s="4"/>
      <c r="E1398" s="4"/>
      <c r="F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</row>
    <row r="1399" spans="1:21" ht="13" x14ac:dyDescent="0.15">
      <c r="A1399" s="4"/>
      <c r="B1399" s="4"/>
      <c r="C1399" s="4"/>
      <c r="D1399" s="4"/>
      <c r="E1399" s="4"/>
      <c r="F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</row>
    <row r="1400" spans="1:21" ht="13" x14ac:dyDescent="0.15">
      <c r="A1400" s="4"/>
      <c r="B1400" s="4"/>
      <c r="C1400" s="4"/>
      <c r="D1400" s="4"/>
      <c r="E1400" s="4"/>
      <c r="F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</row>
    <row r="1401" spans="1:21" ht="13" x14ac:dyDescent="0.15">
      <c r="A1401" s="4"/>
      <c r="B1401" s="4"/>
      <c r="C1401" s="4"/>
      <c r="D1401" s="4"/>
      <c r="E1401" s="4"/>
      <c r="F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</row>
    <row r="1402" spans="1:21" ht="13" x14ac:dyDescent="0.15">
      <c r="A1402" s="4"/>
      <c r="B1402" s="4"/>
      <c r="C1402" s="4"/>
      <c r="D1402" s="4"/>
      <c r="E1402" s="4"/>
      <c r="F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</row>
    <row r="1403" spans="1:21" ht="13" x14ac:dyDescent="0.15">
      <c r="A1403" s="4"/>
      <c r="B1403" s="4"/>
      <c r="C1403" s="4"/>
      <c r="D1403" s="4"/>
      <c r="E1403" s="4"/>
      <c r="F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</row>
    <row r="1404" spans="1:21" ht="13" x14ac:dyDescent="0.15">
      <c r="A1404" s="4"/>
      <c r="B1404" s="4"/>
      <c r="C1404" s="4"/>
      <c r="D1404" s="4"/>
      <c r="E1404" s="4"/>
      <c r="F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</row>
    <row r="1405" spans="1:21" ht="13" x14ac:dyDescent="0.15">
      <c r="A1405" s="4"/>
      <c r="B1405" s="4"/>
      <c r="C1405" s="4"/>
      <c r="D1405" s="4"/>
      <c r="E1405" s="4"/>
      <c r="F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</row>
    <row r="1406" spans="1:21" ht="13" x14ac:dyDescent="0.15">
      <c r="A1406" s="4"/>
      <c r="B1406" s="4"/>
      <c r="C1406" s="4"/>
      <c r="D1406" s="4"/>
      <c r="E1406" s="4"/>
      <c r="F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</row>
    <row r="1407" spans="1:21" ht="13" x14ac:dyDescent="0.15">
      <c r="A1407" s="4"/>
      <c r="B1407" s="4"/>
      <c r="C1407" s="4"/>
      <c r="D1407" s="4"/>
      <c r="E1407" s="4"/>
      <c r="F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</row>
    <row r="1408" spans="1:21" ht="13" x14ac:dyDescent="0.15">
      <c r="A1408" s="4"/>
      <c r="B1408" s="4"/>
      <c r="C1408" s="4"/>
      <c r="D1408" s="4"/>
      <c r="E1408" s="4"/>
      <c r="F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</row>
    <row r="1409" spans="1:21" ht="13" x14ac:dyDescent="0.15">
      <c r="A1409" s="4"/>
      <c r="B1409" s="4"/>
      <c r="C1409" s="4"/>
      <c r="D1409" s="4"/>
      <c r="E1409" s="4"/>
      <c r="F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</row>
    <row r="1410" spans="1:21" ht="13" x14ac:dyDescent="0.15">
      <c r="A1410" s="4"/>
      <c r="B1410" s="4"/>
      <c r="C1410" s="4"/>
      <c r="D1410" s="4"/>
      <c r="E1410" s="4"/>
      <c r="F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</row>
    <row r="1411" spans="1:21" ht="13" x14ac:dyDescent="0.15">
      <c r="A1411" s="4"/>
      <c r="B1411" s="4"/>
      <c r="C1411" s="4"/>
      <c r="D1411" s="4"/>
      <c r="E1411" s="4"/>
      <c r="F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</row>
    <row r="1412" spans="1:21" ht="13" x14ac:dyDescent="0.15">
      <c r="A1412" s="4"/>
      <c r="B1412" s="4"/>
      <c r="C1412" s="4"/>
      <c r="D1412" s="4"/>
      <c r="E1412" s="4"/>
      <c r="F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</row>
    <row r="1413" spans="1:21" ht="13" x14ac:dyDescent="0.15">
      <c r="A1413" s="4"/>
      <c r="B1413" s="4"/>
      <c r="C1413" s="4"/>
      <c r="D1413" s="4"/>
      <c r="E1413" s="4"/>
      <c r="F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</row>
    <row r="1414" spans="1:21" ht="13" x14ac:dyDescent="0.15">
      <c r="A1414" s="4"/>
      <c r="B1414" s="4"/>
      <c r="C1414" s="4"/>
      <c r="D1414" s="4"/>
      <c r="E1414" s="4"/>
      <c r="F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</row>
    <row r="1415" spans="1:21" ht="13" x14ac:dyDescent="0.15">
      <c r="A1415" s="4"/>
      <c r="B1415" s="4"/>
      <c r="C1415" s="4"/>
      <c r="D1415" s="4"/>
      <c r="E1415" s="4"/>
      <c r="F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</row>
    <row r="1416" spans="1:21" ht="13" x14ac:dyDescent="0.15">
      <c r="A1416" s="4"/>
      <c r="B1416" s="4"/>
      <c r="C1416" s="4"/>
      <c r="D1416" s="4"/>
      <c r="E1416" s="4"/>
      <c r="F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</row>
    <row r="1417" spans="1:21" ht="13" x14ac:dyDescent="0.15">
      <c r="A1417" s="4"/>
      <c r="B1417" s="4"/>
      <c r="C1417" s="4"/>
      <c r="D1417" s="4"/>
      <c r="E1417" s="4"/>
      <c r="F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</row>
    <row r="1418" spans="1:21" ht="13" x14ac:dyDescent="0.15">
      <c r="A1418" s="4"/>
      <c r="B1418" s="4"/>
      <c r="C1418" s="4"/>
      <c r="D1418" s="4"/>
      <c r="E1418" s="4"/>
      <c r="F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</row>
    <row r="1419" spans="1:21" ht="13" x14ac:dyDescent="0.15">
      <c r="A1419" s="4"/>
      <c r="B1419" s="4"/>
      <c r="C1419" s="4"/>
      <c r="D1419" s="4"/>
      <c r="E1419" s="4"/>
      <c r="F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</row>
    <row r="1420" spans="1:21" ht="13" x14ac:dyDescent="0.15">
      <c r="A1420" s="4"/>
      <c r="B1420" s="4"/>
      <c r="C1420" s="4"/>
      <c r="D1420" s="4"/>
      <c r="E1420" s="4"/>
      <c r="F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</row>
    <row r="1421" spans="1:21" ht="13" x14ac:dyDescent="0.15">
      <c r="A1421" s="4"/>
      <c r="B1421" s="4"/>
      <c r="C1421" s="4"/>
      <c r="D1421" s="4"/>
      <c r="E1421" s="4"/>
      <c r="F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</row>
    <row r="1422" spans="1:21" ht="13" x14ac:dyDescent="0.15">
      <c r="A1422" s="4"/>
      <c r="B1422" s="4"/>
      <c r="C1422" s="4"/>
      <c r="D1422" s="4"/>
      <c r="E1422" s="4"/>
      <c r="F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</row>
    <row r="1423" spans="1:21" ht="13" x14ac:dyDescent="0.15">
      <c r="A1423" s="4"/>
      <c r="B1423" s="4"/>
      <c r="C1423" s="4"/>
      <c r="D1423" s="4"/>
      <c r="E1423" s="4"/>
      <c r="F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</row>
    <row r="1424" spans="1:21" ht="13" x14ac:dyDescent="0.15">
      <c r="A1424" s="4"/>
      <c r="B1424" s="4"/>
      <c r="C1424" s="4"/>
      <c r="D1424" s="4"/>
      <c r="E1424" s="4"/>
      <c r="F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</row>
    <row r="1425" spans="1:21" ht="13" x14ac:dyDescent="0.15">
      <c r="A1425" s="4"/>
      <c r="B1425" s="4"/>
      <c r="C1425" s="4"/>
      <c r="D1425" s="4"/>
      <c r="E1425" s="4"/>
      <c r="F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</row>
    <row r="1426" spans="1:21" ht="13" x14ac:dyDescent="0.15">
      <c r="A1426" s="4"/>
      <c r="B1426" s="4"/>
      <c r="C1426" s="4"/>
      <c r="D1426" s="4"/>
      <c r="E1426" s="4"/>
      <c r="F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</row>
    <row r="1427" spans="1:21" ht="13" x14ac:dyDescent="0.15">
      <c r="A1427" s="4"/>
      <c r="B1427" s="4"/>
      <c r="C1427" s="4"/>
      <c r="D1427" s="4"/>
      <c r="E1427" s="4"/>
      <c r="F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</row>
    <row r="1428" spans="1:21" ht="13" x14ac:dyDescent="0.15">
      <c r="A1428" s="4"/>
      <c r="B1428" s="4"/>
      <c r="C1428" s="4"/>
      <c r="D1428" s="4"/>
      <c r="E1428" s="4"/>
      <c r="F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</row>
    <row r="1429" spans="1:21" ht="13" x14ac:dyDescent="0.15">
      <c r="A1429" s="4"/>
      <c r="B1429" s="4"/>
      <c r="C1429" s="4"/>
      <c r="D1429" s="4"/>
      <c r="E1429" s="4"/>
      <c r="F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</row>
    <row r="1430" spans="1:21" ht="13" x14ac:dyDescent="0.15">
      <c r="A1430" s="4"/>
      <c r="B1430" s="4"/>
      <c r="C1430" s="4"/>
      <c r="D1430" s="4"/>
      <c r="E1430" s="4"/>
      <c r="F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</row>
    <row r="1431" spans="1:21" ht="13" x14ac:dyDescent="0.15">
      <c r="A1431" s="4"/>
      <c r="B1431" s="4"/>
      <c r="C1431" s="4"/>
      <c r="D1431" s="4"/>
      <c r="E1431" s="4"/>
      <c r="F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</row>
    <row r="1432" spans="1:21" ht="13" x14ac:dyDescent="0.15">
      <c r="A1432" s="4"/>
      <c r="B1432" s="4"/>
      <c r="C1432" s="4"/>
      <c r="D1432" s="4"/>
      <c r="E1432" s="4"/>
      <c r="F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</row>
    <row r="1433" spans="1:21" ht="13" x14ac:dyDescent="0.15">
      <c r="A1433" s="4"/>
      <c r="B1433" s="4"/>
      <c r="C1433" s="4"/>
      <c r="D1433" s="4"/>
      <c r="E1433" s="4"/>
      <c r="F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</row>
    <row r="1434" spans="1:21" ht="13" x14ac:dyDescent="0.15">
      <c r="A1434" s="4"/>
      <c r="B1434" s="4"/>
      <c r="C1434" s="4"/>
      <c r="D1434" s="4"/>
      <c r="E1434" s="4"/>
      <c r="F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</row>
    <row r="1435" spans="1:21" ht="13" x14ac:dyDescent="0.15">
      <c r="A1435" s="4"/>
      <c r="B1435" s="4"/>
      <c r="C1435" s="4"/>
      <c r="D1435" s="4"/>
      <c r="E1435" s="4"/>
      <c r="F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</row>
    <row r="1436" spans="1:21" ht="13" x14ac:dyDescent="0.15">
      <c r="A1436" s="4"/>
      <c r="B1436" s="4"/>
      <c r="C1436" s="4"/>
      <c r="D1436" s="4"/>
      <c r="E1436" s="4"/>
      <c r="F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</row>
    <row r="1437" spans="1:21" ht="13" x14ac:dyDescent="0.15">
      <c r="A1437" s="4"/>
      <c r="B1437" s="4"/>
      <c r="C1437" s="4"/>
      <c r="D1437" s="4"/>
      <c r="E1437" s="4"/>
      <c r="F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</row>
    <row r="1438" spans="1:21" ht="13" x14ac:dyDescent="0.15">
      <c r="A1438" s="4"/>
      <c r="B1438" s="4"/>
      <c r="C1438" s="4"/>
      <c r="D1438" s="4"/>
      <c r="E1438" s="4"/>
      <c r="F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</row>
    <row r="1439" spans="1:21" ht="13" x14ac:dyDescent="0.15">
      <c r="A1439" s="4"/>
      <c r="B1439" s="4"/>
      <c r="C1439" s="4"/>
      <c r="D1439" s="4"/>
      <c r="E1439" s="4"/>
      <c r="F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</row>
    <row r="1440" spans="1:21" ht="13" x14ac:dyDescent="0.15">
      <c r="A1440" s="4"/>
      <c r="B1440" s="4"/>
      <c r="C1440" s="4"/>
      <c r="D1440" s="4"/>
      <c r="E1440" s="4"/>
      <c r="F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</row>
    <row r="1441" spans="1:21" ht="13" x14ac:dyDescent="0.15">
      <c r="A1441" s="4"/>
      <c r="B1441" s="4"/>
      <c r="C1441" s="4"/>
      <c r="D1441" s="4"/>
      <c r="E1441" s="4"/>
      <c r="F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</row>
    <row r="1442" spans="1:21" ht="13" x14ac:dyDescent="0.15">
      <c r="A1442" s="4"/>
      <c r="B1442" s="4"/>
      <c r="C1442" s="4"/>
      <c r="D1442" s="4"/>
      <c r="E1442" s="4"/>
      <c r="F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</row>
    <row r="1443" spans="1:21" ht="13" x14ac:dyDescent="0.15">
      <c r="A1443" s="4"/>
      <c r="B1443" s="4"/>
      <c r="C1443" s="4"/>
      <c r="D1443" s="4"/>
      <c r="E1443" s="4"/>
      <c r="F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</row>
    <row r="1444" spans="1:21" ht="13" x14ac:dyDescent="0.15">
      <c r="A1444" s="4"/>
      <c r="B1444" s="4"/>
      <c r="C1444" s="4"/>
      <c r="D1444" s="4"/>
      <c r="E1444" s="4"/>
      <c r="F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</row>
    <row r="1445" spans="1:21" ht="13" x14ac:dyDescent="0.15">
      <c r="A1445" s="4"/>
      <c r="B1445" s="4"/>
      <c r="C1445" s="4"/>
      <c r="D1445" s="4"/>
      <c r="E1445" s="4"/>
      <c r="F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</row>
    <row r="1446" spans="1:21" ht="13" x14ac:dyDescent="0.15">
      <c r="A1446" s="4"/>
      <c r="B1446" s="4"/>
      <c r="C1446" s="4"/>
      <c r="D1446" s="4"/>
      <c r="E1446" s="4"/>
      <c r="F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</row>
    <row r="1447" spans="1:21" ht="13" x14ac:dyDescent="0.15">
      <c r="A1447" s="4"/>
      <c r="B1447" s="4"/>
      <c r="C1447" s="4"/>
      <c r="D1447" s="4"/>
      <c r="E1447" s="4"/>
      <c r="F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</row>
    <row r="1448" spans="1:21" ht="13" x14ac:dyDescent="0.15">
      <c r="A1448" s="4"/>
      <c r="B1448" s="4"/>
      <c r="C1448" s="4"/>
      <c r="D1448" s="4"/>
      <c r="E1448" s="4"/>
      <c r="F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</row>
    <row r="1449" spans="1:21" ht="13" x14ac:dyDescent="0.15">
      <c r="A1449" s="4"/>
      <c r="B1449" s="4"/>
      <c r="C1449" s="4"/>
      <c r="D1449" s="4"/>
      <c r="E1449" s="4"/>
      <c r="F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</row>
    <row r="1450" spans="1:21" ht="13" x14ac:dyDescent="0.15">
      <c r="A1450" s="4"/>
      <c r="B1450" s="4"/>
      <c r="C1450" s="4"/>
      <c r="D1450" s="4"/>
      <c r="E1450" s="4"/>
      <c r="F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</row>
    <row r="1451" spans="1:21" ht="13" x14ac:dyDescent="0.15">
      <c r="A1451" s="4"/>
      <c r="B1451" s="4"/>
      <c r="C1451" s="4"/>
      <c r="D1451" s="4"/>
      <c r="E1451" s="4"/>
      <c r="F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</row>
    <row r="1452" spans="1:21" ht="13" x14ac:dyDescent="0.15">
      <c r="A1452" s="4"/>
      <c r="B1452" s="4"/>
      <c r="C1452" s="4"/>
      <c r="D1452" s="4"/>
      <c r="E1452" s="4"/>
      <c r="F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</row>
    <row r="1453" spans="1:21" ht="13" x14ac:dyDescent="0.15">
      <c r="A1453" s="4"/>
      <c r="B1453" s="4"/>
      <c r="C1453" s="4"/>
      <c r="D1453" s="4"/>
      <c r="E1453" s="4"/>
      <c r="F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</row>
    <row r="1454" spans="1:21" ht="13" x14ac:dyDescent="0.15">
      <c r="A1454" s="4"/>
      <c r="B1454" s="4"/>
      <c r="C1454" s="4"/>
      <c r="D1454" s="4"/>
      <c r="E1454" s="4"/>
      <c r="F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</row>
    <row r="1455" spans="1:21" ht="13" x14ac:dyDescent="0.15">
      <c r="A1455" s="4"/>
      <c r="B1455" s="4"/>
      <c r="C1455" s="4"/>
      <c r="D1455" s="4"/>
      <c r="E1455" s="4"/>
      <c r="F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</row>
    <row r="1456" spans="1:21" ht="13" x14ac:dyDescent="0.15">
      <c r="A1456" s="4"/>
      <c r="B1456" s="4"/>
      <c r="C1456" s="4"/>
      <c r="D1456" s="4"/>
      <c r="E1456" s="4"/>
      <c r="F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</row>
    <row r="1457" spans="1:21" ht="13" x14ac:dyDescent="0.15">
      <c r="A1457" s="4"/>
      <c r="B1457" s="4"/>
      <c r="C1457" s="4"/>
      <c r="D1457" s="4"/>
      <c r="E1457" s="4"/>
      <c r="F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</row>
    <row r="1458" spans="1:21" ht="13" x14ac:dyDescent="0.15">
      <c r="A1458" s="4"/>
      <c r="B1458" s="4"/>
      <c r="C1458" s="4"/>
      <c r="D1458" s="4"/>
      <c r="E1458" s="4"/>
      <c r="F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</row>
    <row r="1459" spans="1:21" ht="13" x14ac:dyDescent="0.15">
      <c r="A1459" s="4"/>
      <c r="B1459" s="4"/>
      <c r="C1459" s="4"/>
      <c r="D1459" s="4"/>
      <c r="E1459" s="4"/>
      <c r="F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</row>
    <row r="1460" spans="1:21" ht="13" x14ac:dyDescent="0.15">
      <c r="A1460" s="4"/>
      <c r="B1460" s="4"/>
      <c r="C1460" s="4"/>
      <c r="D1460" s="4"/>
      <c r="E1460" s="4"/>
      <c r="F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</row>
    <row r="1461" spans="1:21" ht="13" x14ac:dyDescent="0.15">
      <c r="A1461" s="4"/>
      <c r="B1461" s="4"/>
      <c r="C1461" s="4"/>
      <c r="D1461" s="4"/>
      <c r="E1461" s="4"/>
      <c r="F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</row>
    <row r="1462" spans="1:21" ht="13" x14ac:dyDescent="0.15">
      <c r="A1462" s="4"/>
      <c r="B1462" s="4"/>
      <c r="C1462" s="4"/>
      <c r="D1462" s="4"/>
      <c r="E1462" s="4"/>
      <c r="F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</row>
    <row r="1463" spans="1:21" ht="13" x14ac:dyDescent="0.15">
      <c r="A1463" s="4"/>
      <c r="B1463" s="4"/>
      <c r="C1463" s="4"/>
      <c r="D1463" s="4"/>
      <c r="E1463" s="4"/>
      <c r="F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</row>
    <row r="1464" spans="1:21" ht="13" x14ac:dyDescent="0.15">
      <c r="A1464" s="4"/>
      <c r="B1464" s="4"/>
      <c r="C1464" s="4"/>
      <c r="D1464" s="4"/>
      <c r="E1464" s="4"/>
      <c r="F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</row>
    <row r="1465" spans="1:21" ht="13" x14ac:dyDescent="0.15">
      <c r="A1465" s="4"/>
      <c r="B1465" s="4"/>
      <c r="C1465" s="4"/>
      <c r="D1465" s="4"/>
      <c r="E1465" s="4"/>
      <c r="F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</row>
    <row r="1466" spans="1:21" ht="13" x14ac:dyDescent="0.15">
      <c r="A1466" s="4"/>
      <c r="B1466" s="4"/>
      <c r="C1466" s="4"/>
      <c r="D1466" s="4"/>
      <c r="E1466" s="4"/>
      <c r="F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</row>
    <row r="1467" spans="1:21" ht="13" x14ac:dyDescent="0.15">
      <c r="A1467" s="4"/>
      <c r="B1467" s="4"/>
      <c r="C1467" s="4"/>
      <c r="D1467" s="4"/>
      <c r="E1467" s="4"/>
      <c r="F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</row>
    <row r="1468" spans="1:21" ht="13" x14ac:dyDescent="0.15">
      <c r="A1468" s="4"/>
      <c r="B1468" s="4"/>
      <c r="C1468" s="4"/>
      <c r="D1468" s="4"/>
      <c r="E1468" s="4"/>
      <c r="F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</row>
    <row r="1469" spans="1:21" ht="13" x14ac:dyDescent="0.15">
      <c r="A1469" s="4"/>
      <c r="B1469" s="4"/>
      <c r="C1469" s="4"/>
      <c r="D1469" s="4"/>
      <c r="E1469" s="4"/>
      <c r="F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</row>
    <row r="1470" spans="1:21" ht="13" x14ac:dyDescent="0.15">
      <c r="A1470" s="4"/>
      <c r="B1470" s="4"/>
      <c r="C1470" s="4"/>
      <c r="D1470" s="4"/>
      <c r="E1470" s="4"/>
      <c r="F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</row>
    <row r="1471" spans="1:21" ht="13" x14ac:dyDescent="0.15">
      <c r="A1471" s="4"/>
      <c r="B1471" s="4"/>
      <c r="C1471" s="4"/>
      <c r="D1471" s="4"/>
      <c r="E1471" s="4"/>
      <c r="F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</row>
    <row r="1472" spans="1:21" ht="13" x14ac:dyDescent="0.15">
      <c r="A1472" s="4"/>
      <c r="B1472" s="4"/>
      <c r="C1472" s="4"/>
      <c r="D1472" s="4"/>
      <c r="E1472" s="4"/>
      <c r="F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</row>
    <row r="1473" spans="1:21" ht="13" x14ac:dyDescent="0.15">
      <c r="A1473" s="4"/>
      <c r="B1473" s="4"/>
      <c r="C1473" s="4"/>
      <c r="D1473" s="4"/>
      <c r="E1473" s="4"/>
      <c r="F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</row>
    <row r="1474" spans="1:21" ht="13" x14ac:dyDescent="0.15">
      <c r="A1474" s="4"/>
      <c r="B1474" s="4"/>
      <c r="C1474" s="4"/>
      <c r="D1474" s="4"/>
      <c r="E1474" s="4"/>
      <c r="F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</row>
    <row r="1475" spans="1:21" ht="13" x14ac:dyDescent="0.15">
      <c r="A1475" s="4"/>
      <c r="B1475" s="4"/>
      <c r="C1475" s="4"/>
      <c r="D1475" s="4"/>
      <c r="E1475" s="4"/>
      <c r="F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</row>
    <row r="1476" spans="1:21" ht="13" x14ac:dyDescent="0.15">
      <c r="A1476" s="4"/>
      <c r="B1476" s="4"/>
      <c r="C1476" s="4"/>
      <c r="D1476" s="4"/>
      <c r="E1476" s="4"/>
      <c r="F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</row>
    <row r="1477" spans="1:21" ht="13" x14ac:dyDescent="0.15">
      <c r="A1477" s="4"/>
      <c r="B1477" s="4"/>
      <c r="C1477" s="4"/>
      <c r="D1477" s="4"/>
      <c r="E1477" s="4"/>
      <c r="F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</row>
    <row r="1478" spans="1:21" ht="13" x14ac:dyDescent="0.15">
      <c r="A1478" s="4"/>
      <c r="B1478" s="4"/>
      <c r="C1478" s="4"/>
      <c r="D1478" s="4"/>
      <c r="E1478" s="4"/>
      <c r="F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</row>
    <row r="1479" spans="1:21" ht="13" x14ac:dyDescent="0.15">
      <c r="A1479" s="4"/>
      <c r="B1479" s="4"/>
      <c r="C1479" s="4"/>
      <c r="D1479" s="4"/>
      <c r="E1479" s="4"/>
      <c r="F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</row>
    <row r="1480" spans="1:21" ht="13" x14ac:dyDescent="0.15">
      <c r="A1480" s="4"/>
      <c r="B1480" s="4"/>
      <c r="C1480" s="4"/>
      <c r="D1480" s="4"/>
      <c r="E1480" s="4"/>
      <c r="F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</row>
    <row r="1481" spans="1:21" ht="13" x14ac:dyDescent="0.15">
      <c r="A1481" s="4"/>
      <c r="B1481" s="4"/>
      <c r="C1481" s="4"/>
      <c r="D1481" s="4"/>
      <c r="E1481" s="4"/>
      <c r="F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</row>
    <row r="1482" spans="1:21" ht="13" x14ac:dyDescent="0.15">
      <c r="A1482" s="4"/>
      <c r="B1482" s="4"/>
      <c r="C1482" s="4"/>
      <c r="D1482" s="4"/>
      <c r="E1482" s="4"/>
      <c r="F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</row>
    <row r="1483" spans="1:21" ht="13" x14ac:dyDescent="0.15">
      <c r="A1483" s="4"/>
      <c r="B1483" s="4"/>
      <c r="C1483" s="4"/>
      <c r="D1483" s="4"/>
      <c r="E1483" s="4"/>
      <c r="F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</row>
    <row r="1484" spans="1:21" ht="13" x14ac:dyDescent="0.15">
      <c r="A1484" s="4"/>
      <c r="B1484" s="4"/>
      <c r="C1484" s="4"/>
      <c r="D1484" s="4"/>
      <c r="E1484" s="4"/>
      <c r="F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</row>
    <row r="1485" spans="1:21" ht="13" x14ac:dyDescent="0.15">
      <c r="A1485" s="4"/>
      <c r="B1485" s="4"/>
      <c r="C1485" s="4"/>
      <c r="D1485" s="4"/>
      <c r="E1485" s="4"/>
      <c r="F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</row>
    <row r="1486" spans="1:21" ht="13" x14ac:dyDescent="0.15">
      <c r="A1486" s="4"/>
      <c r="B1486" s="4"/>
      <c r="C1486" s="4"/>
      <c r="D1486" s="4"/>
      <c r="E1486" s="4"/>
      <c r="F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</row>
    <row r="1487" spans="1:21" ht="13" x14ac:dyDescent="0.15">
      <c r="A1487" s="4"/>
      <c r="B1487" s="4"/>
      <c r="C1487" s="4"/>
      <c r="D1487" s="4"/>
      <c r="E1487" s="4"/>
      <c r="F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</row>
    <row r="1488" spans="1:21" ht="13" x14ac:dyDescent="0.15">
      <c r="A1488" s="4"/>
      <c r="B1488" s="4"/>
      <c r="C1488" s="4"/>
      <c r="D1488" s="4"/>
      <c r="E1488" s="4"/>
      <c r="F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</row>
    <row r="1489" spans="1:21" ht="13" x14ac:dyDescent="0.15">
      <c r="A1489" s="4"/>
      <c r="B1489" s="4"/>
      <c r="C1489" s="4"/>
      <c r="D1489" s="4"/>
      <c r="E1489" s="4"/>
      <c r="F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</row>
    <row r="1490" spans="1:21" ht="13" x14ac:dyDescent="0.15">
      <c r="A1490" s="4"/>
      <c r="B1490" s="4"/>
      <c r="C1490" s="4"/>
      <c r="D1490" s="4"/>
      <c r="E1490" s="4"/>
      <c r="F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</row>
    <row r="1491" spans="1:21" ht="13" x14ac:dyDescent="0.15">
      <c r="A1491" s="4"/>
      <c r="B1491" s="4"/>
      <c r="C1491" s="4"/>
      <c r="D1491" s="4"/>
      <c r="E1491" s="4"/>
      <c r="F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</row>
    <row r="1492" spans="1:21" ht="13" x14ac:dyDescent="0.15">
      <c r="A1492" s="4"/>
      <c r="B1492" s="4"/>
      <c r="C1492" s="4"/>
      <c r="D1492" s="4"/>
      <c r="E1492" s="4"/>
      <c r="F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</row>
    <row r="1493" spans="1:21" ht="13" x14ac:dyDescent="0.15">
      <c r="A1493" s="4"/>
      <c r="B1493" s="4"/>
      <c r="C1493" s="4"/>
      <c r="D1493" s="4"/>
      <c r="E1493" s="4"/>
      <c r="F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</row>
    <row r="1494" spans="1:21" ht="13" x14ac:dyDescent="0.15">
      <c r="A1494" s="4"/>
      <c r="B1494" s="4"/>
      <c r="C1494" s="4"/>
      <c r="D1494" s="4"/>
      <c r="E1494" s="4"/>
      <c r="F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</row>
    <row r="1495" spans="1:21" ht="13" x14ac:dyDescent="0.15">
      <c r="A1495" s="4"/>
      <c r="B1495" s="4"/>
      <c r="C1495" s="4"/>
      <c r="D1495" s="4"/>
      <c r="E1495" s="4"/>
      <c r="F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</row>
    <row r="1496" spans="1:21" ht="13" x14ac:dyDescent="0.15">
      <c r="A1496" s="4"/>
      <c r="B1496" s="4"/>
      <c r="C1496" s="4"/>
      <c r="D1496" s="4"/>
      <c r="E1496" s="4"/>
      <c r="F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</row>
    <row r="1497" spans="1:21" ht="13" x14ac:dyDescent="0.15">
      <c r="A1497" s="4"/>
      <c r="B1497" s="4"/>
      <c r="C1497" s="4"/>
      <c r="D1497" s="4"/>
      <c r="E1497" s="4"/>
      <c r="F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</row>
    <row r="1498" spans="1:21" ht="13" x14ac:dyDescent="0.15">
      <c r="A1498" s="4"/>
      <c r="B1498" s="4"/>
      <c r="C1498" s="4"/>
      <c r="D1498" s="4"/>
      <c r="E1498" s="4"/>
      <c r="F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</row>
    <row r="1499" spans="1:21" ht="13" x14ac:dyDescent="0.15">
      <c r="A1499" s="4"/>
      <c r="B1499" s="4"/>
      <c r="C1499" s="4"/>
      <c r="D1499" s="4"/>
      <c r="E1499" s="4"/>
      <c r="F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</row>
    <row r="1500" spans="1:21" ht="13" x14ac:dyDescent="0.15">
      <c r="A1500" s="4"/>
      <c r="B1500" s="4"/>
      <c r="C1500" s="4"/>
      <c r="D1500" s="4"/>
      <c r="E1500" s="4"/>
      <c r="F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</row>
    <row r="1501" spans="1:21" ht="13" x14ac:dyDescent="0.15">
      <c r="A1501" s="4"/>
      <c r="B1501" s="4"/>
      <c r="C1501" s="4"/>
      <c r="D1501" s="4"/>
      <c r="E1501" s="4"/>
      <c r="F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</row>
    <row r="1502" spans="1:21" ht="13" x14ac:dyDescent="0.15">
      <c r="A1502" s="4"/>
      <c r="B1502" s="4"/>
      <c r="C1502" s="4"/>
      <c r="D1502" s="4"/>
      <c r="E1502" s="4"/>
      <c r="F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</row>
    <row r="1503" spans="1:21" ht="13" x14ac:dyDescent="0.15">
      <c r="A1503" s="4"/>
      <c r="B1503" s="4"/>
      <c r="C1503" s="4"/>
      <c r="D1503" s="4"/>
      <c r="E1503" s="4"/>
      <c r="F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</row>
    <row r="1504" spans="1:21" ht="13" x14ac:dyDescent="0.15">
      <c r="A1504" s="4"/>
      <c r="B1504" s="4"/>
      <c r="C1504" s="4"/>
      <c r="D1504" s="4"/>
      <c r="E1504" s="4"/>
      <c r="F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</row>
    <row r="1505" spans="1:21" ht="13" x14ac:dyDescent="0.15">
      <c r="A1505" s="4"/>
      <c r="B1505" s="4"/>
      <c r="C1505" s="4"/>
      <c r="D1505" s="4"/>
      <c r="E1505" s="4"/>
      <c r="F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</row>
    <row r="1506" spans="1:21" ht="13" x14ac:dyDescent="0.15">
      <c r="A1506" s="4"/>
      <c r="B1506" s="4"/>
      <c r="C1506" s="4"/>
      <c r="D1506" s="4"/>
      <c r="E1506" s="4"/>
      <c r="F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</row>
    <row r="1507" spans="1:21" ht="13" x14ac:dyDescent="0.15">
      <c r="A1507" s="4"/>
      <c r="B1507" s="4"/>
      <c r="C1507" s="4"/>
      <c r="D1507" s="4"/>
      <c r="E1507" s="4"/>
      <c r="F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</row>
    <row r="1508" spans="1:21" ht="13" x14ac:dyDescent="0.15">
      <c r="A1508" s="4"/>
      <c r="B1508" s="4"/>
      <c r="C1508" s="4"/>
      <c r="D1508" s="4"/>
      <c r="E1508" s="4"/>
      <c r="F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</row>
    <row r="1509" spans="1:21" ht="13" x14ac:dyDescent="0.15">
      <c r="A1509" s="4"/>
      <c r="B1509" s="4"/>
      <c r="C1509" s="4"/>
      <c r="D1509" s="4"/>
      <c r="E1509" s="4"/>
      <c r="F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</row>
    <row r="1510" spans="1:21" ht="13" x14ac:dyDescent="0.15">
      <c r="A1510" s="4"/>
      <c r="B1510" s="4"/>
      <c r="C1510" s="4"/>
      <c r="D1510" s="4"/>
      <c r="E1510" s="4"/>
      <c r="F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</row>
    <row r="1511" spans="1:21" ht="13" x14ac:dyDescent="0.15">
      <c r="A1511" s="4"/>
      <c r="B1511" s="4"/>
      <c r="C1511" s="4"/>
      <c r="D1511" s="4"/>
      <c r="E1511" s="4"/>
      <c r="F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</row>
    <row r="1512" spans="1:21" ht="13" x14ac:dyDescent="0.15">
      <c r="A1512" s="4"/>
      <c r="B1512" s="4"/>
      <c r="C1512" s="4"/>
      <c r="D1512" s="4"/>
      <c r="E1512" s="4"/>
      <c r="F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</row>
    <row r="1513" spans="1:21" ht="13" x14ac:dyDescent="0.15">
      <c r="A1513" s="4"/>
      <c r="B1513" s="4"/>
      <c r="C1513" s="4"/>
      <c r="D1513" s="4"/>
      <c r="E1513" s="4"/>
      <c r="F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</row>
    <row r="1514" spans="1:21" ht="13" x14ac:dyDescent="0.15">
      <c r="A1514" s="4"/>
      <c r="B1514" s="4"/>
      <c r="C1514" s="4"/>
      <c r="D1514" s="4"/>
      <c r="E1514" s="4"/>
      <c r="F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</row>
    <row r="1515" spans="1:21" ht="13" x14ac:dyDescent="0.15">
      <c r="A1515" s="4"/>
      <c r="B1515" s="4"/>
      <c r="C1515" s="4"/>
      <c r="D1515" s="4"/>
      <c r="E1515" s="4"/>
      <c r="F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</row>
    <row r="1516" spans="1:21" ht="13" x14ac:dyDescent="0.15">
      <c r="A1516" s="4"/>
      <c r="B1516" s="4"/>
      <c r="C1516" s="4"/>
      <c r="D1516" s="4"/>
      <c r="E1516" s="4"/>
      <c r="F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</row>
    <row r="1517" spans="1:21" ht="13" x14ac:dyDescent="0.15">
      <c r="A1517" s="4"/>
      <c r="B1517" s="4"/>
      <c r="C1517" s="4"/>
      <c r="D1517" s="4"/>
      <c r="E1517" s="4"/>
      <c r="F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</row>
    <row r="1518" spans="1:21" ht="13" x14ac:dyDescent="0.15">
      <c r="A1518" s="4"/>
      <c r="B1518" s="4"/>
      <c r="C1518" s="4"/>
      <c r="D1518" s="4"/>
      <c r="E1518" s="4"/>
      <c r="F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</row>
    <row r="1519" spans="1:21" ht="13" x14ac:dyDescent="0.15">
      <c r="A1519" s="4"/>
      <c r="B1519" s="4"/>
      <c r="C1519" s="4"/>
      <c r="D1519" s="4"/>
      <c r="E1519" s="4"/>
      <c r="F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</row>
    <row r="1520" spans="1:21" ht="13" x14ac:dyDescent="0.15">
      <c r="A1520" s="4"/>
      <c r="B1520" s="4"/>
      <c r="C1520" s="4"/>
      <c r="D1520" s="4"/>
      <c r="E1520" s="4"/>
      <c r="F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</row>
    <row r="1521" spans="1:21" ht="13" x14ac:dyDescent="0.15">
      <c r="A1521" s="4"/>
      <c r="B1521" s="4"/>
      <c r="C1521" s="4"/>
      <c r="D1521" s="4"/>
      <c r="E1521" s="4"/>
      <c r="F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</row>
    <row r="1522" spans="1:21" ht="13" x14ac:dyDescent="0.15">
      <c r="A1522" s="4"/>
      <c r="B1522" s="4"/>
      <c r="C1522" s="4"/>
      <c r="D1522" s="4"/>
      <c r="E1522" s="4"/>
      <c r="F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</row>
    <row r="1523" spans="1:21" ht="13" x14ac:dyDescent="0.15">
      <c r="A1523" s="4"/>
      <c r="B1523" s="4"/>
      <c r="C1523" s="4"/>
      <c r="D1523" s="4"/>
      <c r="E1523" s="4"/>
      <c r="F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</row>
    <row r="1524" spans="1:21" ht="13" x14ac:dyDescent="0.15">
      <c r="A1524" s="4"/>
      <c r="B1524" s="4"/>
      <c r="C1524" s="4"/>
      <c r="D1524" s="4"/>
      <c r="E1524" s="4"/>
      <c r="F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</row>
    <row r="1525" spans="1:21" ht="13" x14ac:dyDescent="0.15">
      <c r="A1525" s="4"/>
      <c r="B1525" s="4"/>
      <c r="C1525" s="4"/>
      <c r="D1525" s="4"/>
      <c r="E1525" s="4"/>
      <c r="F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</row>
    <row r="1526" spans="1:21" ht="13" x14ac:dyDescent="0.15">
      <c r="A1526" s="4"/>
      <c r="B1526" s="4"/>
      <c r="C1526" s="4"/>
      <c r="D1526" s="4"/>
      <c r="E1526" s="4"/>
      <c r="F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</row>
    <row r="1527" spans="1:21" ht="13" x14ac:dyDescent="0.15">
      <c r="A1527" s="4"/>
      <c r="B1527" s="4"/>
      <c r="C1527" s="4"/>
      <c r="D1527" s="4"/>
      <c r="E1527" s="4"/>
      <c r="F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</row>
    <row r="1528" spans="1:21" ht="13" x14ac:dyDescent="0.15">
      <c r="A1528" s="4"/>
      <c r="B1528" s="4"/>
      <c r="C1528" s="4"/>
      <c r="D1528" s="4"/>
      <c r="E1528" s="4"/>
      <c r="F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</row>
    <row r="1529" spans="1:21" ht="13" x14ac:dyDescent="0.15">
      <c r="A1529" s="4"/>
      <c r="B1529" s="4"/>
      <c r="C1529" s="4"/>
      <c r="D1529" s="4"/>
      <c r="E1529" s="4"/>
      <c r="F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</row>
    <row r="1530" spans="1:21" ht="13" x14ac:dyDescent="0.15">
      <c r="A1530" s="4"/>
      <c r="B1530" s="4"/>
      <c r="C1530" s="4"/>
      <c r="D1530" s="4"/>
      <c r="E1530" s="4"/>
      <c r="F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</row>
    <row r="1531" spans="1:21" ht="13" x14ac:dyDescent="0.15">
      <c r="A1531" s="4"/>
      <c r="B1531" s="4"/>
      <c r="C1531" s="4"/>
      <c r="D1531" s="4"/>
      <c r="E1531" s="4"/>
      <c r="F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</row>
    <row r="1532" spans="1:21" ht="13" x14ac:dyDescent="0.15">
      <c r="A1532" s="4"/>
      <c r="B1532" s="4"/>
      <c r="C1532" s="4"/>
      <c r="D1532" s="4"/>
      <c r="E1532" s="4"/>
      <c r="F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</row>
    <row r="1533" spans="1:21" ht="13" x14ac:dyDescent="0.15">
      <c r="A1533" s="4"/>
      <c r="B1533" s="4"/>
      <c r="C1533" s="4"/>
      <c r="D1533" s="4"/>
      <c r="E1533" s="4"/>
      <c r="F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</row>
    <row r="1534" spans="1:21" ht="13" x14ac:dyDescent="0.15">
      <c r="A1534" s="4"/>
      <c r="B1534" s="4"/>
      <c r="C1534" s="4"/>
      <c r="D1534" s="4"/>
      <c r="E1534" s="4"/>
      <c r="F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</row>
    <row r="1535" spans="1:21" ht="13" x14ac:dyDescent="0.15">
      <c r="A1535" s="4"/>
      <c r="B1535" s="4"/>
      <c r="C1535" s="4"/>
      <c r="D1535" s="4"/>
      <c r="E1535" s="4"/>
      <c r="F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</row>
    <row r="1536" spans="1:21" ht="13" x14ac:dyDescent="0.15">
      <c r="A1536" s="4"/>
      <c r="B1536" s="4"/>
      <c r="C1536" s="4"/>
      <c r="D1536" s="4"/>
      <c r="E1536" s="4"/>
      <c r="F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</row>
    <row r="1537" spans="1:21" ht="13" x14ac:dyDescent="0.15">
      <c r="A1537" s="4"/>
      <c r="B1537" s="4"/>
      <c r="C1537" s="4"/>
      <c r="D1537" s="4"/>
      <c r="E1537" s="4"/>
      <c r="F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</row>
    <row r="1538" spans="1:21" ht="13" x14ac:dyDescent="0.15">
      <c r="A1538" s="4"/>
      <c r="B1538" s="4"/>
      <c r="C1538" s="4"/>
      <c r="D1538" s="4"/>
      <c r="E1538" s="4"/>
      <c r="F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</row>
    <row r="1539" spans="1:21" ht="13" x14ac:dyDescent="0.15">
      <c r="A1539" s="4"/>
      <c r="B1539" s="4"/>
      <c r="C1539" s="4"/>
      <c r="D1539" s="4"/>
      <c r="E1539" s="4"/>
      <c r="F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</row>
    <row r="1540" spans="1:21" ht="13" x14ac:dyDescent="0.15">
      <c r="A1540" s="4"/>
      <c r="B1540" s="4"/>
      <c r="C1540" s="4"/>
      <c r="D1540" s="4"/>
      <c r="E1540" s="4"/>
      <c r="F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</row>
    <row r="1541" spans="1:21" ht="13" x14ac:dyDescent="0.15">
      <c r="A1541" s="4"/>
      <c r="B1541" s="4"/>
      <c r="C1541" s="4"/>
      <c r="D1541" s="4"/>
      <c r="E1541" s="4"/>
      <c r="F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</row>
    <row r="1542" spans="1:21" ht="13" x14ac:dyDescent="0.15">
      <c r="A1542" s="4"/>
      <c r="B1542" s="4"/>
      <c r="C1542" s="4"/>
      <c r="D1542" s="4"/>
      <c r="E1542" s="4"/>
      <c r="F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</row>
    <row r="1543" spans="1:21" ht="13" x14ac:dyDescent="0.15">
      <c r="A1543" s="4"/>
      <c r="B1543" s="4"/>
      <c r="C1543" s="4"/>
      <c r="D1543" s="4"/>
      <c r="E1543" s="4"/>
      <c r="F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</row>
    <row r="1544" spans="1:21" ht="13" x14ac:dyDescent="0.15">
      <c r="A1544" s="4"/>
      <c r="B1544" s="4"/>
      <c r="C1544" s="4"/>
      <c r="D1544" s="4"/>
      <c r="E1544" s="4"/>
      <c r="F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</row>
    <row r="1545" spans="1:21" ht="13" x14ac:dyDescent="0.15">
      <c r="A1545" s="4"/>
      <c r="B1545" s="4"/>
      <c r="C1545" s="4"/>
      <c r="D1545" s="4"/>
      <c r="E1545" s="4"/>
      <c r="F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</row>
    <row r="1546" spans="1:21" ht="13" x14ac:dyDescent="0.15">
      <c r="A1546" s="4"/>
      <c r="B1546" s="4"/>
      <c r="C1546" s="4"/>
      <c r="D1546" s="4"/>
      <c r="E1546" s="4"/>
      <c r="F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</row>
    <row r="1547" spans="1:21" ht="13" x14ac:dyDescent="0.15">
      <c r="A1547" s="4"/>
      <c r="B1547" s="4"/>
      <c r="C1547" s="4"/>
      <c r="D1547" s="4"/>
      <c r="E1547" s="4"/>
      <c r="F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</row>
    <row r="1548" spans="1:21" ht="13" x14ac:dyDescent="0.15">
      <c r="A1548" s="4"/>
      <c r="B1548" s="4"/>
      <c r="C1548" s="4"/>
      <c r="D1548" s="4"/>
      <c r="E1548" s="4"/>
      <c r="F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</row>
    <row r="1549" spans="1:21" ht="13" x14ac:dyDescent="0.15">
      <c r="A1549" s="4"/>
      <c r="B1549" s="4"/>
      <c r="C1549" s="4"/>
      <c r="D1549" s="4"/>
      <c r="E1549" s="4"/>
      <c r="F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</row>
    <row r="1550" spans="1:21" ht="13" x14ac:dyDescent="0.15">
      <c r="A1550" s="4"/>
      <c r="B1550" s="4"/>
      <c r="C1550" s="4"/>
      <c r="D1550" s="4"/>
      <c r="E1550" s="4"/>
      <c r="F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</row>
    <row r="1551" spans="1:21" ht="13" x14ac:dyDescent="0.15">
      <c r="A1551" s="4"/>
      <c r="B1551" s="4"/>
      <c r="C1551" s="4"/>
      <c r="D1551" s="4"/>
      <c r="E1551" s="4"/>
      <c r="F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</row>
    <row r="1552" spans="1:21" ht="13" x14ac:dyDescent="0.15">
      <c r="A1552" s="4"/>
      <c r="B1552" s="4"/>
      <c r="C1552" s="4"/>
      <c r="D1552" s="4"/>
      <c r="E1552" s="4"/>
      <c r="F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</row>
    <row r="1553" spans="1:21" ht="13" x14ac:dyDescent="0.15">
      <c r="A1553" s="4"/>
      <c r="B1553" s="4"/>
      <c r="C1553" s="4"/>
      <c r="D1553" s="4"/>
      <c r="E1553" s="4"/>
      <c r="F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</row>
    <row r="1554" spans="1:21" ht="13" x14ac:dyDescent="0.15">
      <c r="A1554" s="4"/>
      <c r="B1554" s="4"/>
      <c r="C1554" s="4"/>
      <c r="D1554" s="4"/>
      <c r="E1554" s="4"/>
      <c r="F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</row>
    <row r="1555" spans="1:21" ht="13" x14ac:dyDescent="0.15">
      <c r="A1555" s="4"/>
      <c r="B1555" s="4"/>
      <c r="C1555" s="4"/>
      <c r="D1555" s="4"/>
      <c r="E1555" s="4"/>
      <c r="F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</row>
    <row r="1556" spans="1:21" ht="13" x14ac:dyDescent="0.15">
      <c r="A1556" s="4"/>
      <c r="B1556" s="4"/>
      <c r="C1556" s="4"/>
      <c r="D1556" s="4"/>
      <c r="E1556" s="4"/>
      <c r="F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</row>
    <row r="1557" spans="1:21" ht="13" x14ac:dyDescent="0.15">
      <c r="A1557" s="4"/>
      <c r="B1557" s="4"/>
      <c r="C1557" s="4"/>
      <c r="D1557" s="4"/>
      <c r="E1557" s="4"/>
      <c r="F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</row>
    <row r="1558" spans="1:21" ht="13" x14ac:dyDescent="0.15">
      <c r="A1558" s="4"/>
      <c r="B1558" s="4"/>
      <c r="C1558" s="4"/>
      <c r="D1558" s="4"/>
      <c r="E1558" s="4"/>
      <c r="F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</row>
    <row r="1559" spans="1:21" ht="13" x14ac:dyDescent="0.15">
      <c r="A1559" s="4"/>
      <c r="B1559" s="4"/>
      <c r="C1559" s="4"/>
      <c r="D1559" s="4"/>
      <c r="E1559" s="4"/>
      <c r="F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</row>
    <row r="1560" spans="1:21" ht="13" x14ac:dyDescent="0.15">
      <c r="A1560" s="4"/>
      <c r="B1560" s="4"/>
      <c r="C1560" s="4"/>
      <c r="D1560" s="4"/>
      <c r="E1560" s="4"/>
      <c r="F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</row>
    <row r="1561" spans="1:21" ht="13" x14ac:dyDescent="0.15">
      <c r="A1561" s="4"/>
      <c r="B1561" s="4"/>
      <c r="C1561" s="4"/>
      <c r="D1561" s="4"/>
      <c r="E1561" s="4"/>
      <c r="F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</row>
    <row r="1562" spans="1:21" ht="13" x14ac:dyDescent="0.15">
      <c r="A1562" s="4"/>
      <c r="B1562" s="4"/>
      <c r="C1562" s="4"/>
      <c r="D1562" s="4"/>
      <c r="E1562" s="4"/>
      <c r="F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</row>
    <row r="1563" spans="1:21" ht="13" x14ac:dyDescent="0.15">
      <c r="A1563" s="4"/>
      <c r="B1563" s="4"/>
      <c r="C1563" s="4"/>
      <c r="D1563" s="4"/>
      <c r="E1563" s="4"/>
      <c r="F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</row>
    <row r="1564" spans="1:21" ht="13" x14ac:dyDescent="0.15">
      <c r="A1564" s="4"/>
      <c r="B1564" s="4"/>
      <c r="C1564" s="4"/>
      <c r="D1564" s="4"/>
      <c r="E1564" s="4"/>
      <c r="F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</row>
    <row r="1565" spans="1:21" ht="13" x14ac:dyDescent="0.15">
      <c r="A1565" s="4"/>
      <c r="B1565" s="4"/>
      <c r="C1565" s="4"/>
      <c r="D1565" s="4"/>
      <c r="E1565" s="4"/>
      <c r="F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</row>
    <row r="1566" spans="1:21" ht="13" x14ac:dyDescent="0.15">
      <c r="A1566" s="4"/>
      <c r="B1566" s="4"/>
      <c r="C1566" s="4"/>
      <c r="D1566" s="4"/>
      <c r="E1566" s="4"/>
      <c r="F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</row>
    <row r="1567" spans="1:21" ht="13" x14ac:dyDescent="0.15">
      <c r="A1567" s="4"/>
      <c r="B1567" s="4"/>
      <c r="C1567" s="4"/>
      <c r="D1567" s="4"/>
      <c r="E1567" s="4"/>
      <c r="F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</row>
    <row r="1568" spans="1:21" ht="13" x14ac:dyDescent="0.15">
      <c r="A1568" s="4"/>
      <c r="B1568" s="4"/>
      <c r="C1568" s="4"/>
      <c r="D1568" s="4"/>
      <c r="E1568" s="4"/>
      <c r="F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</row>
    <row r="1569" spans="1:21" ht="13" x14ac:dyDescent="0.15">
      <c r="A1569" s="4"/>
      <c r="B1569" s="4"/>
      <c r="C1569" s="4"/>
      <c r="D1569" s="4"/>
      <c r="E1569" s="4"/>
      <c r="F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</row>
    <row r="1570" spans="1:21" ht="13" x14ac:dyDescent="0.15">
      <c r="A1570" s="4"/>
      <c r="B1570" s="4"/>
      <c r="C1570" s="4"/>
      <c r="D1570" s="4"/>
      <c r="E1570" s="4"/>
      <c r="F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</row>
    <row r="1571" spans="1:21" ht="13" x14ac:dyDescent="0.15">
      <c r="A1571" s="4"/>
      <c r="B1571" s="4"/>
      <c r="C1571" s="4"/>
      <c r="D1571" s="4"/>
      <c r="E1571" s="4"/>
      <c r="F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</row>
    <row r="1572" spans="1:21" ht="13" x14ac:dyDescent="0.15">
      <c r="A1572" s="4"/>
      <c r="B1572" s="4"/>
      <c r="C1572" s="4"/>
      <c r="D1572" s="4"/>
      <c r="E1572" s="4"/>
      <c r="F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</row>
    <row r="1573" spans="1:21" ht="13" x14ac:dyDescent="0.15">
      <c r="A1573" s="4"/>
      <c r="B1573" s="4"/>
      <c r="C1573" s="4"/>
      <c r="D1573" s="4"/>
      <c r="E1573" s="4"/>
      <c r="F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</row>
    <row r="1574" spans="1:21" ht="13" x14ac:dyDescent="0.15">
      <c r="A1574" s="4"/>
      <c r="B1574" s="4"/>
      <c r="C1574" s="4"/>
      <c r="D1574" s="4"/>
      <c r="E1574" s="4"/>
      <c r="F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</row>
    <row r="1575" spans="1:21" ht="13" x14ac:dyDescent="0.15">
      <c r="A1575" s="4"/>
      <c r="B1575" s="4"/>
      <c r="C1575" s="4"/>
      <c r="D1575" s="4"/>
      <c r="E1575" s="4"/>
      <c r="F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</row>
    <row r="1576" spans="1:21" ht="13" x14ac:dyDescent="0.15">
      <c r="A1576" s="4"/>
      <c r="B1576" s="4"/>
      <c r="C1576" s="4"/>
      <c r="D1576" s="4"/>
      <c r="E1576" s="4"/>
      <c r="F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</row>
    <row r="1577" spans="1:21" ht="13" x14ac:dyDescent="0.15">
      <c r="A1577" s="4"/>
      <c r="B1577" s="4"/>
      <c r="C1577" s="4"/>
      <c r="D1577" s="4"/>
      <c r="E1577" s="4"/>
      <c r="F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</row>
    <row r="1578" spans="1:21" ht="13" x14ac:dyDescent="0.15">
      <c r="A1578" s="4"/>
      <c r="B1578" s="4"/>
      <c r="C1578" s="4"/>
      <c r="D1578" s="4"/>
      <c r="E1578" s="4"/>
      <c r="F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</row>
    <row r="1579" spans="1:21" ht="13" x14ac:dyDescent="0.15">
      <c r="A1579" s="4"/>
      <c r="B1579" s="4"/>
      <c r="C1579" s="4"/>
      <c r="D1579" s="4"/>
      <c r="E1579" s="4"/>
      <c r="F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</row>
    <row r="1580" spans="1:21" ht="13" x14ac:dyDescent="0.15">
      <c r="A1580" s="4"/>
      <c r="B1580" s="4"/>
      <c r="C1580" s="4"/>
      <c r="D1580" s="4"/>
      <c r="E1580" s="4"/>
      <c r="F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</row>
    <row r="1581" spans="1:21" ht="13" x14ac:dyDescent="0.15">
      <c r="A1581" s="4"/>
      <c r="B1581" s="4"/>
      <c r="C1581" s="4"/>
      <c r="D1581" s="4"/>
      <c r="E1581" s="4"/>
      <c r="F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</row>
    <row r="1582" spans="1:21" ht="13" x14ac:dyDescent="0.15">
      <c r="A1582" s="4"/>
      <c r="B1582" s="4"/>
      <c r="C1582" s="4"/>
      <c r="D1582" s="4"/>
      <c r="E1582" s="4"/>
      <c r="F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</row>
    <row r="1583" spans="1:21" ht="13" x14ac:dyDescent="0.15">
      <c r="A1583" s="4"/>
      <c r="B1583" s="4"/>
      <c r="C1583" s="4"/>
      <c r="D1583" s="4"/>
      <c r="E1583" s="4"/>
      <c r="F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</row>
    <row r="1584" spans="1:21" ht="13" x14ac:dyDescent="0.15">
      <c r="A1584" s="4"/>
      <c r="B1584" s="4"/>
      <c r="C1584" s="4"/>
      <c r="D1584" s="4"/>
      <c r="E1584" s="4"/>
      <c r="F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</row>
    <row r="1585" spans="1:21" ht="13" x14ac:dyDescent="0.15">
      <c r="A1585" s="4"/>
      <c r="B1585" s="4"/>
      <c r="C1585" s="4"/>
      <c r="D1585" s="4"/>
      <c r="E1585" s="4"/>
      <c r="F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</row>
    <row r="1586" spans="1:21" ht="13" x14ac:dyDescent="0.15">
      <c r="A1586" s="4"/>
      <c r="B1586" s="4"/>
      <c r="C1586" s="4"/>
      <c r="D1586" s="4"/>
      <c r="E1586" s="4"/>
      <c r="F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</row>
    <row r="1587" spans="1:21" ht="13" x14ac:dyDescent="0.15">
      <c r="A1587" s="4"/>
      <c r="B1587" s="4"/>
      <c r="C1587" s="4"/>
      <c r="D1587" s="4"/>
      <c r="E1587" s="4"/>
      <c r="F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</row>
    <row r="1588" spans="1:21" ht="13" x14ac:dyDescent="0.15">
      <c r="A1588" s="4"/>
      <c r="B1588" s="4"/>
      <c r="C1588" s="4"/>
      <c r="D1588" s="4"/>
      <c r="E1588" s="4"/>
      <c r="F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</row>
    <row r="1589" spans="1:21" ht="13" x14ac:dyDescent="0.15">
      <c r="A1589" s="4"/>
      <c r="B1589" s="4"/>
      <c r="C1589" s="4"/>
      <c r="D1589" s="4"/>
      <c r="E1589" s="4"/>
      <c r="F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</row>
    <row r="1590" spans="1:21" ht="13" x14ac:dyDescent="0.15">
      <c r="A1590" s="4"/>
      <c r="B1590" s="4"/>
      <c r="C1590" s="4"/>
      <c r="D1590" s="4"/>
      <c r="E1590" s="4"/>
      <c r="F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</row>
    <row r="1591" spans="1:21" ht="13" x14ac:dyDescent="0.15">
      <c r="A1591" s="4"/>
      <c r="B1591" s="4"/>
      <c r="C1591" s="4"/>
      <c r="D1591" s="4"/>
      <c r="E1591" s="4"/>
      <c r="F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</row>
    <row r="1592" spans="1:21" ht="13" x14ac:dyDescent="0.15">
      <c r="A1592" s="4"/>
      <c r="B1592" s="4"/>
      <c r="C1592" s="4"/>
      <c r="D1592" s="4"/>
      <c r="E1592" s="4"/>
      <c r="F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</row>
    <row r="1593" spans="1:21" ht="13" x14ac:dyDescent="0.15">
      <c r="A1593" s="4"/>
      <c r="B1593" s="4"/>
      <c r="C1593" s="4"/>
      <c r="D1593" s="4"/>
      <c r="E1593" s="4"/>
      <c r="F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</row>
    <row r="1594" spans="1:21" ht="13" x14ac:dyDescent="0.15">
      <c r="A1594" s="4"/>
      <c r="B1594" s="4"/>
      <c r="C1594" s="4"/>
      <c r="D1594" s="4"/>
      <c r="E1594" s="4"/>
      <c r="F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</row>
    <row r="1595" spans="1:21" ht="13" x14ac:dyDescent="0.15">
      <c r="A1595" s="4"/>
      <c r="B1595" s="4"/>
      <c r="C1595" s="4"/>
      <c r="D1595" s="4"/>
      <c r="E1595" s="4"/>
      <c r="F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</row>
    <row r="1596" spans="1:21" ht="13" x14ac:dyDescent="0.15">
      <c r="A1596" s="4"/>
      <c r="B1596" s="4"/>
      <c r="C1596" s="4"/>
      <c r="D1596" s="4"/>
      <c r="E1596" s="4"/>
      <c r="F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</row>
    <row r="1597" spans="1:21" ht="13" x14ac:dyDescent="0.15">
      <c r="A1597" s="4"/>
      <c r="B1597" s="4"/>
      <c r="C1597" s="4"/>
      <c r="D1597" s="4"/>
      <c r="E1597" s="4"/>
      <c r="F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</row>
    <row r="1598" spans="1:21" ht="13" x14ac:dyDescent="0.15">
      <c r="A1598" s="4"/>
      <c r="B1598" s="4"/>
      <c r="C1598" s="4"/>
      <c r="D1598" s="4"/>
      <c r="E1598" s="4"/>
      <c r="F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</row>
    <row r="1599" spans="1:21" ht="13" x14ac:dyDescent="0.15">
      <c r="A1599" s="4"/>
      <c r="B1599" s="4"/>
      <c r="C1599" s="4"/>
      <c r="D1599" s="4"/>
      <c r="E1599" s="4"/>
      <c r="F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</row>
    <row r="1600" spans="1:21" ht="13" x14ac:dyDescent="0.15">
      <c r="A1600" s="4"/>
      <c r="B1600" s="4"/>
      <c r="C1600" s="4"/>
      <c r="D1600" s="4"/>
      <c r="E1600" s="4"/>
      <c r="F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</row>
    <row r="1601" spans="1:21" ht="13" x14ac:dyDescent="0.15">
      <c r="A1601" s="4"/>
      <c r="B1601" s="4"/>
      <c r="C1601" s="4"/>
      <c r="D1601" s="4"/>
      <c r="E1601" s="4"/>
      <c r="F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</row>
    <row r="1602" spans="1:21" ht="13" x14ac:dyDescent="0.15">
      <c r="A1602" s="4"/>
      <c r="B1602" s="4"/>
      <c r="C1602" s="4"/>
      <c r="D1602" s="4"/>
      <c r="E1602" s="4"/>
      <c r="F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</row>
    <row r="1603" spans="1:21" ht="13" x14ac:dyDescent="0.15">
      <c r="A1603" s="4"/>
      <c r="B1603" s="4"/>
      <c r="C1603" s="4"/>
      <c r="D1603" s="4"/>
      <c r="E1603" s="4"/>
      <c r="F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</row>
    <row r="1604" spans="1:21" ht="13" x14ac:dyDescent="0.15">
      <c r="A1604" s="4"/>
      <c r="B1604" s="4"/>
      <c r="C1604" s="4"/>
      <c r="D1604" s="4"/>
      <c r="E1604" s="4"/>
      <c r="F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</row>
    <row r="1605" spans="1:21" ht="13" x14ac:dyDescent="0.15">
      <c r="A1605" s="4"/>
      <c r="B1605" s="4"/>
      <c r="C1605" s="4"/>
      <c r="D1605" s="4"/>
      <c r="E1605" s="4"/>
      <c r="F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</row>
    <row r="1606" spans="1:21" ht="13" x14ac:dyDescent="0.15">
      <c r="A1606" s="4"/>
      <c r="B1606" s="4"/>
      <c r="C1606" s="4"/>
      <c r="D1606" s="4"/>
      <c r="E1606" s="4"/>
      <c r="F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</row>
    <row r="1607" spans="1:21" ht="13" x14ac:dyDescent="0.15">
      <c r="A1607" s="4"/>
      <c r="B1607" s="4"/>
      <c r="C1607" s="4"/>
      <c r="D1607" s="4"/>
      <c r="E1607" s="4"/>
      <c r="F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</row>
    <row r="1608" spans="1:21" ht="13" x14ac:dyDescent="0.15">
      <c r="A1608" s="4"/>
      <c r="B1608" s="4"/>
      <c r="C1608" s="4"/>
      <c r="D1608" s="4"/>
      <c r="E1608" s="4"/>
      <c r="F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</row>
    <row r="1609" spans="1:21" ht="13" x14ac:dyDescent="0.15">
      <c r="A1609" s="4"/>
      <c r="B1609" s="4"/>
      <c r="C1609" s="4"/>
      <c r="D1609" s="4"/>
      <c r="E1609" s="4"/>
      <c r="F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</row>
    <row r="1610" spans="1:21" ht="13" x14ac:dyDescent="0.15">
      <c r="A1610" s="4"/>
      <c r="B1610" s="4"/>
      <c r="C1610" s="4"/>
      <c r="D1610" s="4"/>
      <c r="E1610" s="4"/>
      <c r="F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</row>
    <row r="1611" spans="1:21" ht="13" x14ac:dyDescent="0.15">
      <c r="A1611" s="4"/>
      <c r="B1611" s="4"/>
      <c r="C1611" s="4"/>
      <c r="D1611" s="4"/>
      <c r="E1611" s="4"/>
      <c r="F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</row>
    <row r="1612" spans="1:21" ht="13" x14ac:dyDescent="0.15">
      <c r="A1612" s="4"/>
      <c r="B1612" s="4"/>
      <c r="C1612" s="4"/>
      <c r="D1612" s="4"/>
      <c r="E1612" s="4"/>
      <c r="F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</row>
    <row r="1613" spans="1:21" ht="13" x14ac:dyDescent="0.15">
      <c r="A1613" s="4"/>
      <c r="B1613" s="4"/>
      <c r="C1613" s="4"/>
      <c r="D1613" s="4"/>
      <c r="E1613" s="4"/>
      <c r="F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</row>
    <row r="1614" spans="1:21" ht="13" x14ac:dyDescent="0.15">
      <c r="A1614" s="4"/>
      <c r="B1614" s="4"/>
      <c r="C1614" s="4"/>
      <c r="D1614" s="4"/>
      <c r="E1614" s="4"/>
      <c r="F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</row>
    <row r="1615" spans="1:21" ht="13" x14ac:dyDescent="0.15">
      <c r="A1615" s="4"/>
      <c r="B1615" s="4"/>
      <c r="C1615" s="4"/>
      <c r="D1615" s="4"/>
      <c r="E1615" s="4"/>
      <c r="F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</row>
    <row r="1616" spans="1:21" ht="13" x14ac:dyDescent="0.15">
      <c r="A1616" s="4"/>
      <c r="B1616" s="4"/>
      <c r="C1616" s="4"/>
      <c r="D1616" s="4"/>
      <c r="E1616" s="4"/>
      <c r="F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</row>
    <row r="1617" spans="1:21" ht="13" x14ac:dyDescent="0.15">
      <c r="A1617" s="4"/>
      <c r="B1617" s="4"/>
      <c r="C1617" s="4"/>
      <c r="D1617" s="4"/>
      <c r="E1617" s="4"/>
      <c r="F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</row>
    <row r="1618" spans="1:21" ht="13" x14ac:dyDescent="0.15">
      <c r="A1618" s="4"/>
      <c r="B1618" s="4"/>
      <c r="C1618" s="4"/>
      <c r="D1618" s="4"/>
      <c r="E1618" s="4"/>
      <c r="F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</row>
    <row r="1619" spans="1:21" ht="13" x14ac:dyDescent="0.15">
      <c r="A1619" s="4"/>
      <c r="B1619" s="4"/>
      <c r="C1619" s="4"/>
      <c r="D1619" s="4"/>
      <c r="E1619" s="4"/>
      <c r="F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</row>
    <row r="1620" spans="1:21" ht="13" x14ac:dyDescent="0.15">
      <c r="A1620" s="4"/>
      <c r="B1620" s="4"/>
      <c r="C1620" s="4"/>
      <c r="D1620" s="4"/>
      <c r="E1620" s="4"/>
      <c r="F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</row>
    <row r="1621" spans="1:21" ht="13" x14ac:dyDescent="0.15">
      <c r="A1621" s="4"/>
      <c r="B1621" s="4"/>
      <c r="C1621" s="4"/>
      <c r="D1621" s="4"/>
      <c r="E1621" s="4"/>
      <c r="F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</row>
    <row r="1622" spans="1:21" ht="13" x14ac:dyDescent="0.15">
      <c r="A1622" s="4"/>
      <c r="B1622" s="4"/>
      <c r="C1622" s="4"/>
      <c r="D1622" s="4"/>
      <c r="E1622" s="4"/>
      <c r="F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</row>
    <row r="1623" spans="1:21" ht="13" x14ac:dyDescent="0.15">
      <c r="A1623" s="4"/>
      <c r="B1623" s="4"/>
      <c r="C1623" s="4"/>
      <c r="D1623" s="4"/>
      <c r="E1623" s="4"/>
      <c r="F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</row>
    <row r="1624" spans="1:21" ht="13" x14ac:dyDescent="0.15">
      <c r="A1624" s="4"/>
      <c r="B1624" s="4"/>
      <c r="C1624" s="4"/>
      <c r="D1624" s="4"/>
      <c r="E1624" s="4"/>
      <c r="F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</row>
    <row r="1625" spans="1:21" ht="13" x14ac:dyDescent="0.15">
      <c r="A1625" s="4"/>
      <c r="B1625" s="4"/>
      <c r="C1625" s="4"/>
      <c r="D1625" s="4"/>
      <c r="E1625" s="4"/>
      <c r="F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</row>
    <row r="1626" spans="1:21" ht="13" x14ac:dyDescent="0.15">
      <c r="A1626" s="4"/>
      <c r="B1626" s="4"/>
      <c r="C1626" s="4"/>
      <c r="D1626" s="4"/>
      <c r="E1626" s="4"/>
      <c r="F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</row>
    <row r="1627" spans="1:21" ht="13" x14ac:dyDescent="0.15">
      <c r="A1627" s="4"/>
      <c r="B1627" s="4"/>
      <c r="C1627" s="4"/>
      <c r="D1627" s="4"/>
      <c r="E1627" s="4"/>
      <c r="F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</row>
    <row r="1628" spans="1:21" ht="13" x14ac:dyDescent="0.15">
      <c r="A1628" s="4"/>
      <c r="B1628" s="4"/>
      <c r="C1628" s="4"/>
      <c r="D1628" s="4"/>
      <c r="E1628" s="4"/>
      <c r="F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</row>
    <row r="1629" spans="1:21" ht="13" x14ac:dyDescent="0.15">
      <c r="A1629" s="4"/>
      <c r="B1629" s="4"/>
      <c r="C1629" s="4"/>
      <c r="D1629" s="4"/>
      <c r="E1629" s="4"/>
      <c r="F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</row>
    <row r="1630" spans="1:21" ht="13" x14ac:dyDescent="0.15">
      <c r="A1630" s="4"/>
      <c r="B1630" s="4"/>
      <c r="C1630" s="4"/>
      <c r="D1630" s="4"/>
      <c r="E1630" s="4"/>
      <c r="F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</row>
    <row r="1631" spans="1:21" ht="13" x14ac:dyDescent="0.15">
      <c r="A1631" s="4"/>
      <c r="B1631" s="4"/>
      <c r="C1631" s="4"/>
      <c r="D1631" s="4"/>
      <c r="E1631" s="4"/>
      <c r="F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</row>
    <row r="1632" spans="1:21" ht="13" x14ac:dyDescent="0.15">
      <c r="A1632" s="4"/>
      <c r="B1632" s="4"/>
      <c r="C1632" s="4"/>
      <c r="D1632" s="4"/>
      <c r="E1632" s="4"/>
      <c r="F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</row>
    <row r="1633" spans="1:21" ht="13" x14ac:dyDescent="0.15">
      <c r="A1633" s="4"/>
      <c r="B1633" s="4"/>
      <c r="C1633" s="4"/>
      <c r="D1633" s="4"/>
      <c r="E1633" s="4"/>
      <c r="F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</row>
    <row r="1634" spans="1:21" ht="13" x14ac:dyDescent="0.15">
      <c r="A1634" s="4"/>
      <c r="B1634" s="4"/>
      <c r="C1634" s="4"/>
      <c r="D1634" s="4"/>
      <c r="E1634" s="4"/>
      <c r="F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</row>
    <row r="1635" spans="1:21" ht="13" x14ac:dyDescent="0.15">
      <c r="A1635" s="4"/>
      <c r="B1635" s="4"/>
      <c r="C1635" s="4"/>
      <c r="D1635" s="4"/>
      <c r="E1635" s="4"/>
      <c r="F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</row>
    <row r="1636" spans="1:21" ht="13" x14ac:dyDescent="0.15">
      <c r="A1636" s="4"/>
      <c r="B1636" s="4"/>
      <c r="C1636" s="4"/>
      <c r="D1636" s="4"/>
      <c r="E1636" s="4"/>
      <c r="F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</row>
    <row r="1637" spans="1:21" ht="13" x14ac:dyDescent="0.15">
      <c r="A1637" s="4"/>
      <c r="B1637" s="4"/>
      <c r="C1637" s="4"/>
      <c r="D1637" s="4"/>
      <c r="E1637" s="4"/>
      <c r="F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</row>
    <row r="1638" spans="1:21" ht="13" x14ac:dyDescent="0.15">
      <c r="A1638" s="4"/>
      <c r="B1638" s="4"/>
      <c r="C1638" s="4"/>
      <c r="D1638" s="4"/>
      <c r="E1638" s="4"/>
      <c r="F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</row>
    <row r="1639" spans="1:21" ht="13" x14ac:dyDescent="0.15">
      <c r="A1639" s="4"/>
      <c r="B1639" s="4"/>
      <c r="C1639" s="4"/>
      <c r="D1639" s="4"/>
      <c r="E1639" s="4"/>
      <c r="F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</row>
  </sheetData>
  <autoFilter ref="A1:G619" xr:uid="{00000000-0001-0000-0000-000000000000}">
    <filterColumn colId="6">
      <filters>
        <filter val="$10.39"/>
        <filter val="$10.70"/>
        <filter val="$103.99"/>
        <filter val="$11.43"/>
        <filter val="$11.95"/>
        <filter val="$119.59"/>
        <filter val="$12.47"/>
        <filter val="$13.20"/>
        <filter val="$13.51"/>
        <filter val="$14.55"/>
        <filter val="$145.59"/>
        <filter val="$15.59"/>
        <filter val="$150.79"/>
        <filter val="$155.99"/>
        <filter val="$16.63"/>
        <filter val="$17.15"/>
        <filter val="$17.67"/>
        <filter val="$18.19"/>
        <filter val="$19.75"/>
        <filter val="$192.39"/>
        <filter val="$197.59"/>
        <filter val="$2.69"/>
        <filter val="$20.27"/>
        <filter val="$20.79"/>
        <filter val="$218.39"/>
        <filter val="$22.87"/>
        <filter val="$22.88"/>
        <filter val="$23.91"/>
        <filter val="$239.19"/>
        <filter val="$24.95"/>
        <filter val="$24.96"/>
        <filter val="$25.99"/>
        <filter val="$26.51"/>
        <filter val="$27.03"/>
        <filter val="$29.11"/>
        <filter val="$31.19"/>
        <filter val="$311.99"/>
        <filter val="$33.27"/>
        <filter val="$34.31"/>
        <filter val="$36.39"/>
        <filter val="$37.43"/>
        <filter val="$39.51"/>
        <filter val="$4.32"/>
        <filter val="$4.98"/>
        <filter val="$40.55"/>
        <filter val="$41.59"/>
        <filter val="$415.99"/>
        <filter val="$44.71"/>
        <filter val="$46.79"/>
        <filter val="$49.91"/>
        <filter val="$49.92"/>
        <filter val="$57.19"/>
        <filter val="$59.27"/>
        <filter val="$6.75"/>
        <filter val="$67.59"/>
        <filter val="$71.75"/>
        <filter val="$72.79"/>
        <filter val="$83.20"/>
        <filter val="$9.35"/>
        <filter val="$90.47"/>
        <filter val="$93.59"/>
      </filters>
    </filterColumn>
  </autoFilter>
  <mergeCells count="136">
    <mergeCell ref="A48:A50"/>
    <mergeCell ref="A51:A61"/>
    <mergeCell ref="A62:A81"/>
    <mergeCell ref="A82:A85"/>
    <mergeCell ref="A86:A88"/>
    <mergeCell ref="A89:A92"/>
    <mergeCell ref="B2:B14"/>
    <mergeCell ref="B17:B18"/>
    <mergeCell ref="B19:B23"/>
    <mergeCell ref="B24:B30"/>
    <mergeCell ref="B31:B33"/>
    <mergeCell ref="B34:B35"/>
    <mergeCell ref="B36:B37"/>
    <mergeCell ref="B38:B43"/>
    <mergeCell ref="B44:B47"/>
    <mergeCell ref="B48:B49"/>
    <mergeCell ref="B51:B52"/>
    <mergeCell ref="B53:B54"/>
    <mergeCell ref="B58:B61"/>
    <mergeCell ref="A2:A18"/>
    <mergeCell ref="A19:A37"/>
    <mergeCell ref="A38:A47"/>
    <mergeCell ref="B84:B85"/>
    <mergeCell ref="B89:B92"/>
    <mergeCell ref="F89:F90"/>
    <mergeCell ref="C58:C60"/>
    <mergeCell ref="B62:B73"/>
    <mergeCell ref="C62:C73"/>
    <mergeCell ref="B74:B75"/>
    <mergeCell ref="B76:B77"/>
    <mergeCell ref="B78:B79"/>
    <mergeCell ref="A93:A103"/>
    <mergeCell ref="B102:B103"/>
    <mergeCell ref="A104:A138"/>
    <mergeCell ref="B104:B107"/>
    <mergeCell ref="B108:B110"/>
    <mergeCell ref="B133:B134"/>
    <mergeCell ref="B127:B129"/>
    <mergeCell ref="B131:B132"/>
    <mergeCell ref="F91:F92"/>
    <mergeCell ref="F275:F278"/>
    <mergeCell ref="F279:F282"/>
    <mergeCell ref="B224:B228"/>
    <mergeCell ref="B229:B232"/>
    <mergeCell ref="B266:B267"/>
    <mergeCell ref="B268:B274"/>
    <mergeCell ref="D275:D278"/>
    <mergeCell ref="B111:B113"/>
    <mergeCell ref="B114:B116"/>
    <mergeCell ref="B117:B119"/>
    <mergeCell ref="B120:B121"/>
    <mergeCell ref="B123:B124"/>
    <mergeCell ref="B125:B126"/>
    <mergeCell ref="A139:A163"/>
    <mergeCell ref="B143:B145"/>
    <mergeCell ref="A164:A208"/>
    <mergeCell ref="C176:C208"/>
    <mergeCell ref="B320:B324"/>
    <mergeCell ref="B325:B331"/>
    <mergeCell ref="B375:B377"/>
    <mergeCell ref="D279:D282"/>
    <mergeCell ref="B233:B237"/>
    <mergeCell ref="B238:B241"/>
    <mergeCell ref="B242:B249"/>
    <mergeCell ref="B250:B256"/>
    <mergeCell ref="B257:B258"/>
    <mergeCell ref="B259:B260"/>
    <mergeCell ref="B261:B263"/>
    <mergeCell ref="B264:B265"/>
    <mergeCell ref="B275:B282"/>
    <mergeCell ref="B345:B351"/>
    <mergeCell ref="B283:B284"/>
    <mergeCell ref="B285:B293"/>
    <mergeCell ref="B294:B311"/>
    <mergeCell ref="B340:B342"/>
    <mergeCell ref="B343:B344"/>
    <mergeCell ref="B352:B362"/>
    <mergeCell ref="B363:B369"/>
    <mergeCell ref="B370:B374"/>
    <mergeCell ref="A693:A696"/>
    <mergeCell ref="A697:A700"/>
    <mergeCell ref="A338:A351"/>
    <mergeCell ref="A352:A444"/>
    <mergeCell ref="A445:A450"/>
    <mergeCell ref="A464:A544"/>
    <mergeCell ref="A545:A601"/>
    <mergeCell ref="A602:A619"/>
    <mergeCell ref="A663:A665"/>
    <mergeCell ref="B400:B402"/>
    <mergeCell ref="B403:B406"/>
    <mergeCell ref="B177:B208"/>
    <mergeCell ref="B209:B223"/>
    <mergeCell ref="G684:G689"/>
    <mergeCell ref="F684:F689"/>
    <mergeCell ref="B684:B689"/>
    <mergeCell ref="C684:C689"/>
    <mergeCell ref="A666:A692"/>
    <mergeCell ref="B411:B421"/>
    <mergeCell ref="B422:B425"/>
    <mergeCell ref="B426:B430"/>
    <mergeCell ref="B431:B435"/>
    <mergeCell ref="B436:B444"/>
    <mergeCell ref="B445:B450"/>
    <mergeCell ref="C480:C482"/>
    <mergeCell ref="C483:C484"/>
    <mergeCell ref="A209:A311"/>
    <mergeCell ref="B332:B337"/>
    <mergeCell ref="B338:B339"/>
    <mergeCell ref="A312:A337"/>
    <mergeCell ref="B312:B314"/>
    <mergeCell ref="B315:B317"/>
    <mergeCell ref="B318:B319"/>
    <mergeCell ref="B407:B408"/>
    <mergeCell ref="B409:B410"/>
    <mergeCell ref="B485:B488"/>
    <mergeCell ref="C485:C488"/>
    <mergeCell ref="F78:F79"/>
    <mergeCell ref="G678:G683"/>
    <mergeCell ref="F678:F683"/>
    <mergeCell ref="G672:G677"/>
    <mergeCell ref="F672:F677"/>
    <mergeCell ref="G666:G671"/>
    <mergeCell ref="B464:B482"/>
    <mergeCell ref="B483:B484"/>
    <mergeCell ref="F666:F671"/>
    <mergeCell ref="B527:B536"/>
    <mergeCell ref="C666:C671"/>
    <mergeCell ref="B666:B671"/>
    <mergeCell ref="B672:B677"/>
    <mergeCell ref="C672:C677"/>
    <mergeCell ref="B678:B683"/>
    <mergeCell ref="C678:C683"/>
    <mergeCell ref="B378:B385"/>
    <mergeCell ref="B386:B393"/>
    <mergeCell ref="B394:B395"/>
    <mergeCell ref="B396:B399"/>
  </mergeCells>
  <printOptions horizontalCentered="1" gridLines="1"/>
  <pageMargins left="0.7" right="0.7" top="0.75" bottom="0.75" header="0" footer="0"/>
  <pageSetup fitToHeight="0" pageOrder="overThenDown" orientation="portrait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zoomScale="160" zoomScaleNormal="160" workbookViewId="0">
      <selection activeCell="A2" sqref="A2:B3"/>
    </sheetView>
  </sheetViews>
  <sheetFormatPr baseColWidth="10" defaultColWidth="12.5" defaultRowHeight="15" customHeight="1" x14ac:dyDescent="0.15"/>
  <cols>
    <col min="1" max="1" width="22.1640625" customWidth="1"/>
    <col min="2" max="2" width="11.5" customWidth="1"/>
    <col min="3" max="3" width="15.5" customWidth="1"/>
    <col min="4" max="4" width="15.83203125" customWidth="1"/>
    <col min="5" max="5" width="10.6640625" customWidth="1"/>
    <col min="6" max="26" width="8.5" customWidth="1"/>
  </cols>
  <sheetData>
    <row r="1" spans="1:5" ht="12.75" customHeight="1" x14ac:dyDescent="0.15">
      <c r="A1" s="1" t="s">
        <v>714</v>
      </c>
      <c r="B1" s="1"/>
      <c r="C1" s="121" t="s">
        <v>715</v>
      </c>
      <c r="D1" s="122" t="s">
        <v>716</v>
      </c>
      <c r="E1" s="123" t="s">
        <v>717</v>
      </c>
    </row>
    <row r="2" spans="1:5" ht="12.75" customHeight="1" x14ac:dyDescent="0.15">
      <c r="A2" s="7" t="s">
        <v>655</v>
      </c>
      <c r="B2" s="7" t="s">
        <v>656</v>
      </c>
      <c r="C2" s="124">
        <v>115</v>
      </c>
      <c r="D2" s="125">
        <v>125</v>
      </c>
      <c r="E2" s="126">
        <f t="shared" ref="E2:E27" si="0">+(D2/C2)-1</f>
        <v>8.6956521739130377E-2</v>
      </c>
    </row>
    <row r="3" spans="1:5" ht="12.75" customHeight="1" x14ac:dyDescent="0.15">
      <c r="A3" s="12"/>
      <c r="B3" s="12" t="s">
        <v>657</v>
      </c>
      <c r="C3" s="95">
        <v>177</v>
      </c>
      <c r="D3" s="127">
        <v>189</v>
      </c>
      <c r="E3" s="128">
        <f t="shared" si="0"/>
        <v>6.7796610169491567E-2</v>
      </c>
    </row>
    <row r="4" spans="1:5" ht="12.75" customHeight="1" x14ac:dyDescent="0.15">
      <c r="A4" s="7" t="s">
        <v>658</v>
      </c>
      <c r="B4" s="7" t="s">
        <v>656</v>
      </c>
      <c r="C4" s="124">
        <v>149</v>
      </c>
      <c r="D4" s="125">
        <v>165</v>
      </c>
      <c r="E4" s="126">
        <f t="shared" si="0"/>
        <v>0.10738255033557054</v>
      </c>
    </row>
    <row r="5" spans="1:5" ht="12.75" customHeight="1" x14ac:dyDescent="0.15">
      <c r="A5" s="12"/>
      <c r="B5" s="12" t="s">
        <v>657</v>
      </c>
      <c r="C5" s="95">
        <v>199</v>
      </c>
      <c r="D5" s="127">
        <v>215</v>
      </c>
      <c r="E5" s="128">
        <f t="shared" si="0"/>
        <v>8.040201005025116E-2</v>
      </c>
    </row>
    <row r="6" spans="1:5" ht="12.75" customHeight="1" x14ac:dyDescent="0.15">
      <c r="A6" s="7" t="s">
        <v>659</v>
      </c>
      <c r="B6" s="7" t="s">
        <v>656</v>
      </c>
      <c r="C6" s="124">
        <v>145</v>
      </c>
      <c r="D6" s="125">
        <v>149</v>
      </c>
      <c r="E6" s="126">
        <f t="shared" si="0"/>
        <v>2.7586206896551779E-2</v>
      </c>
    </row>
    <row r="7" spans="1:5" ht="12.75" customHeight="1" x14ac:dyDescent="0.15">
      <c r="A7" s="12"/>
      <c r="B7" s="12" t="s">
        <v>657</v>
      </c>
      <c r="C7" s="95">
        <v>240</v>
      </c>
      <c r="D7" s="127">
        <v>240</v>
      </c>
      <c r="E7" s="128">
        <f t="shared" si="0"/>
        <v>0</v>
      </c>
    </row>
    <row r="8" spans="1:5" ht="12.75" customHeight="1" x14ac:dyDescent="0.15">
      <c r="A8" s="7" t="s">
        <v>660</v>
      </c>
      <c r="B8" s="7" t="s">
        <v>656</v>
      </c>
      <c r="C8" s="124">
        <v>155</v>
      </c>
      <c r="D8" s="125">
        <v>169</v>
      </c>
      <c r="E8" s="126">
        <f t="shared" si="0"/>
        <v>9.0322580645161299E-2</v>
      </c>
    </row>
    <row r="9" spans="1:5" ht="12.75" customHeight="1" x14ac:dyDescent="0.15">
      <c r="A9" s="12"/>
      <c r="B9" s="12" t="s">
        <v>657</v>
      </c>
      <c r="C9" s="95">
        <v>230</v>
      </c>
      <c r="D9" s="127">
        <v>245</v>
      </c>
      <c r="E9" s="128">
        <f t="shared" si="0"/>
        <v>6.5217391304347894E-2</v>
      </c>
    </row>
    <row r="10" spans="1:5" ht="12.75" customHeight="1" x14ac:dyDescent="0.15">
      <c r="A10" s="7" t="s">
        <v>661</v>
      </c>
      <c r="B10" s="7" t="s">
        <v>656</v>
      </c>
      <c r="C10" s="124">
        <v>225</v>
      </c>
      <c r="D10" s="125">
        <v>225</v>
      </c>
      <c r="E10" s="126">
        <f t="shared" si="0"/>
        <v>0</v>
      </c>
    </row>
    <row r="11" spans="1:5" ht="12.75" customHeight="1" x14ac:dyDescent="0.15">
      <c r="A11" s="12"/>
      <c r="B11" s="12" t="s">
        <v>657</v>
      </c>
      <c r="C11" s="95">
        <v>350</v>
      </c>
      <c r="D11" s="127">
        <v>350</v>
      </c>
      <c r="E11" s="128">
        <f t="shared" si="0"/>
        <v>0</v>
      </c>
    </row>
    <row r="12" spans="1:5" ht="12.75" customHeight="1" x14ac:dyDescent="0.15">
      <c r="A12" s="7" t="s">
        <v>662</v>
      </c>
      <c r="B12" s="7" t="s">
        <v>656</v>
      </c>
      <c r="C12" s="124">
        <v>270</v>
      </c>
      <c r="D12" s="125">
        <v>270</v>
      </c>
      <c r="E12" s="126">
        <f t="shared" si="0"/>
        <v>0</v>
      </c>
    </row>
    <row r="13" spans="1:5" ht="12.75" customHeight="1" x14ac:dyDescent="0.15">
      <c r="A13" s="12"/>
      <c r="B13" s="12" t="s">
        <v>657</v>
      </c>
      <c r="C13" s="95">
        <v>400</v>
      </c>
      <c r="D13" s="127">
        <v>400</v>
      </c>
      <c r="E13" s="128">
        <f t="shared" si="0"/>
        <v>0</v>
      </c>
    </row>
    <row r="14" spans="1:5" ht="12.75" customHeight="1" x14ac:dyDescent="0.15">
      <c r="A14" s="7" t="s">
        <v>33</v>
      </c>
      <c r="B14" s="7" t="s">
        <v>656</v>
      </c>
      <c r="C14" s="124">
        <v>175</v>
      </c>
      <c r="D14" s="125">
        <v>189</v>
      </c>
      <c r="E14" s="126">
        <f t="shared" si="0"/>
        <v>8.0000000000000071E-2</v>
      </c>
    </row>
    <row r="15" spans="1:5" ht="12.75" customHeight="1" x14ac:dyDescent="0.15">
      <c r="A15" s="12"/>
      <c r="B15" s="12" t="s">
        <v>657</v>
      </c>
      <c r="C15" s="95">
        <v>290</v>
      </c>
      <c r="D15" s="127">
        <v>299</v>
      </c>
      <c r="E15" s="128">
        <f t="shared" si="0"/>
        <v>3.1034482758620641E-2</v>
      </c>
    </row>
    <row r="16" spans="1:5" ht="12.75" customHeight="1" x14ac:dyDescent="0.15">
      <c r="A16" s="7" t="s">
        <v>663</v>
      </c>
      <c r="B16" s="7" t="s">
        <v>656</v>
      </c>
      <c r="C16" s="124">
        <v>115</v>
      </c>
      <c r="D16" s="125">
        <v>125</v>
      </c>
      <c r="E16" s="126">
        <f t="shared" si="0"/>
        <v>8.6956521739130377E-2</v>
      </c>
    </row>
    <row r="17" spans="1:5" ht="12.75" customHeight="1" x14ac:dyDescent="0.15">
      <c r="A17" s="12"/>
      <c r="B17" s="12" t="s">
        <v>657</v>
      </c>
      <c r="C17" s="95">
        <v>177</v>
      </c>
      <c r="D17" s="127">
        <v>189</v>
      </c>
      <c r="E17" s="128">
        <f t="shared" si="0"/>
        <v>6.7796610169491567E-2</v>
      </c>
    </row>
    <row r="18" spans="1:5" ht="12.75" customHeight="1" x14ac:dyDescent="0.15">
      <c r="A18" s="7" t="s">
        <v>664</v>
      </c>
      <c r="B18" s="7" t="s">
        <v>656</v>
      </c>
      <c r="C18" s="124">
        <v>150</v>
      </c>
      <c r="D18" s="125">
        <v>159</v>
      </c>
      <c r="E18" s="126">
        <f t="shared" si="0"/>
        <v>6.0000000000000053E-2</v>
      </c>
    </row>
    <row r="19" spans="1:5" ht="12.75" customHeight="1" x14ac:dyDescent="0.15">
      <c r="A19" s="12"/>
      <c r="B19" s="12" t="s">
        <v>657</v>
      </c>
      <c r="C19" s="95">
        <v>225</v>
      </c>
      <c r="D19" s="127">
        <v>225</v>
      </c>
      <c r="E19" s="128">
        <f t="shared" si="0"/>
        <v>0</v>
      </c>
    </row>
    <row r="20" spans="1:5" ht="12.75" customHeight="1" x14ac:dyDescent="0.15">
      <c r="A20" s="7" t="s">
        <v>665</v>
      </c>
      <c r="B20" s="7" t="s">
        <v>656</v>
      </c>
      <c r="C20" s="124">
        <v>140</v>
      </c>
      <c r="D20" s="125">
        <v>149</v>
      </c>
      <c r="E20" s="126">
        <f t="shared" si="0"/>
        <v>6.4285714285714279E-2</v>
      </c>
    </row>
    <row r="21" spans="1:5" ht="12.75" customHeight="1" x14ac:dyDescent="0.15">
      <c r="A21" s="12"/>
      <c r="B21" s="12" t="s">
        <v>657</v>
      </c>
      <c r="C21" s="95">
        <v>230</v>
      </c>
      <c r="D21" s="127">
        <v>239</v>
      </c>
      <c r="E21" s="128">
        <f t="shared" si="0"/>
        <v>3.9130434782608692E-2</v>
      </c>
    </row>
    <row r="22" spans="1:5" ht="12.75" customHeight="1" x14ac:dyDescent="0.15">
      <c r="A22" s="7" t="s">
        <v>666</v>
      </c>
      <c r="B22" s="7" t="s">
        <v>656</v>
      </c>
      <c r="C22" s="124">
        <v>150</v>
      </c>
      <c r="D22" s="125">
        <v>159</v>
      </c>
      <c r="E22" s="126">
        <f t="shared" si="0"/>
        <v>6.0000000000000053E-2</v>
      </c>
    </row>
    <row r="23" spans="1:5" ht="12.75" customHeight="1" x14ac:dyDescent="0.15">
      <c r="A23" s="12"/>
      <c r="B23" s="12" t="s">
        <v>657</v>
      </c>
      <c r="C23" s="95">
        <v>225</v>
      </c>
      <c r="D23" s="127">
        <v>225</v>
      </c>
      <c r="E23" s="128">
        <f t="shared" si="0"/>
        <v>0</v>
      </c>
    </row>
    <row r="24" spans="1:5" ht="12.75" customHeight="1" x14ac:dyDescent="0.15">
      <c r="A24" s="7" t="s">
        <v>667</v>
      </c>
      <c r="B24" s="7" t="s">
        <v>656</v>
      </c>
      <c r="C24" s="124">
        <v>225</v>
      </c>
      <c r="D24" s="125">
        <v>249</v>
      </c>
      <c r="E24" s="126">
        <f t="shared" si="0"/>
        <v>0.10666666666666669</v>
      </c>
    </row>
    <row r="25" spans="1:5" ht="12.75" customHeight="1" x14ac:dyDescent="0.15">
      <c r="A25" s="12"/>
      <c r="B25" s="12" t="s">
        <v>657</v>
      </c>
      <c r="C25" s="95">
        <v>350</v>
      </c>
      <c r="D25" s="127">
        <v>365</v>
      </c>
      <c r="E25" s="128">
        <f t="shared" si="0"/>
        <v>4.2857142857142927E-2</v>
      </c>
    </row>
    <row r="26" spans="1:5" ht="12.75" customHeight="1" x14ac:dyDescent="0.15">
      <c r="A26" s="7" t="s">
        <v>668</v>
      </c>
      <c r="B26" s="7" t="s">
        <v>656</v>
      </c>
      <c r="C26" s="124">
        <v>175</v>
      </c>
      <c r="D26" s="125">
        <v>185</v>
      </c>
      <c r="E26" s="126">
        <f t="shared" si="0"/>
        <v>5.7142857142857162E-2</v>
      </c>
    </row>
    <row r="27" spans="1:5" ht="12.75" customHeight="1" x14ac:dyDescent="0.15">
      <c r="A27" s="19"/>
      <c r="B27" s="19" t="s">
        <v>657</v>
      </c>
      <c r="C27" s="129">
        <v>290</v>
      </c>
      <c r="D27" s="130">
        <v>299</v>
      </c>
      <c r="E27" s="128">
        <f t="shared" si="0"/>
        <v>3.1034482758620641E-2</v>
      </c>
    </row>
    <row r="28" spans="1:5" ht="12.75" customHeight="1" x14ac:dyDescent="0.15">
      <c r="C28" s="74">
        <v>150</v>
      </c>
    </row>
    <row r="29" spans="1:5" ht="12.75" customHeight="1" x14ac:dyDescent="0.15">
      <c r="C29" s="74">
        <v>250</v>
      </c>
    </row>
    <row r="30" spans="1:5" ht="12.75" customHeight="1" x14ac:dyDescent="0.15"/>
    <row r="31" spans="1:5" ht="12.75" customHeight="1" x14ac:dyDescent="0.15"/>
    <row r="32" spans="1:5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24"/>
  <sheetViews>
    <sheetView zoomScale="150" zoomScaleNormal="150" workbookViewId="0">
      <pane ySplit="2" topLeftCell="A3" activePane="bottomLeft" state="frozen"/>
      <selection pane="bottomLeft" activeCell="C13" sqref="C13"/>
    </sheetView>
  </sheetViews>
  <sheetFormatPr baseColWidth="10" defaultColWidth="12.5" defaultRowHeight="15" customHeight="1" x14ac:dyDescent="0.15"/>
  <cols>
    <col min="1" max="1" width="19.6640625" customWidth="1"/>
    <col min="2" max="2" width="27.6640625" customWidth="1"/>
    <col min="3" max="3" width="37.33203125" customWidth="1"/>
    <col min="4" max="4" width="20" bestFit="1" customWidth="1"/>
    <col min="5" max="5" width="21" bestFit="1" customWidth="1"/>
    <col min="6" max="6" width="20" bestFit="1" customWidth="1"/>
    <col min="7" max="7" width="21" bestFit="1" customWidth="1"/>
  </cols>
  <sheetData>
    <row r="1" spans="1:7" ht="13" x14ac:dyDescent="0.15">
      <c r="A1" s="1"/>
      <c r="B1" s="2"/>
      <c r="C1" s="3"/>
      <c r="D1" s="428" t="s">
        <v>718</v>
      </c>
      <c r="E1" s="430" t="s">
        <v>0</v>
      </c>
      <c r="F1" s="428" t="s">
        <v>719</v>
      </c>
      <c r="G1" s="432" t="s">
        <v>1</v>
      </c>
    </row>
    <row r="2" spans="1:7" ht="13" x14ac:dyDescent="0.15">
      <c r="A2" s="1"/>
      <c r="B2" s="2"/>
      <c r="C2" s="3" t="s">
        <v>2</v>
      </c>
      <c r="D2" s="429"/>
      <c r="E2" s="431"/>
      <c r="F2" s="429"/>
      <c r="G2" s="433"/>
    </row>
    <row r="3" spans="1:7" ht="13" x14ac:dyDescent="0.15">
      <c r="A3" s="400" t="s">
        <v>6</v>
      </c>
      <c r="B3" s="402" t="s">
        <v>7</v>
      </c>
      <c r="C3" s="7" t="s">
        <v>8</v>
      </c>
      <c r="D3" s="131">
        <v>1.59</v>
      </c>
      <c r="E3" s="9">
        <v>1.79</v>
      </c>
      <c r="F3" s="132">
        <v>1.85</v>
      </c>
      <c r="G3" s="10">
        <v>1.99</v>
      </c>
    </row>
    <row r="4" spans="1:7" ht="13" x14ac:dyDescent="0.15">
      <c r="A4" s="390"/>
      <c r="B4" s="368"/>
      <c r="C4" s="12" t="s">
        <v>9</v>
      </c>
      <c r="D4" s="133">
        <v>1.59</v>
      </c>
      <c r="E4" s="13">
        <v>1.79</v>
      </c>
      <c r="F4" s="13">
        <v>1.85</v>
      </c>
      <c r="G4" s="14">
        <v>1.99</v>
      </c>
    </row>
    <row r="5" spans="1:7" ht="13" x14ac:dyDescent="0.15">
      <c r="A5" s="390"/>
      <c r="B5" s="368"/>
      <c r="C5" s="12" t="s">
        <v>10</v>
      </c>
      <c r="D5" s="133">
        <v>1.59</v>
      </c>
      <c r="E5" s="13">
        <v>1.79</v>
      </c>
      <c r="F5" s="13">
        <v>1.85</v>
      </c>
      <c r="G5" s="14">
        <v>1.99</v>
      </c>
    </row>
    <row r="6" spans="1:7" ht="13" x14ac:dyDescent="0.15">
      <c r="A6" s="390"/>
      <c r="B6" s="368"/>
      <c r="C6" s="12" t="s">
        <v>11</v>
      </c>
      <c r="D6" s="133">
        <v>1.59</v>
      </c>
      <c r="E6" s="13">
        <v>1.79</v>
      </c>
      <c r="F6" s="13">
        <v>1.85</v>
      </c>
      <c r="G6" s="14">
        <v>1.99</v>
      </c>
    </row>
    <row r="7" spans="1:7" ht="13" x14ac:dyDescent="0.15">
      <c r="A7" s="390"/>
      <c r="B7" s="368"/>
      <c r="C7" s="12" t="s">
        <v>12</v>
      </c>
      <c r="D7" s="133">
        <v>1.59</v>
      </c>
      <c r="E7" s="13">
        <v>1.79</v>
      </c>
      <c r="F7" s="13">
        <v>1.85</v>
      </c>
      <c r="G7" s="14">
        <v>1.99</v>
      </c>
    </row>
    <row r="8" spans="1:7" ht="13" x14ac:dyDescent="0.15">
      <c r="A8" s="390"/>
      <c r="B8" s="368"/>
      <c r="C8" s="12" t="s">
        <v>13</v>
      </c>
      <c r="D8" s="133">
        <v>1.59</v>
      </c>
      <c r="E8" s="13">
        <v>1.79</v>
      </c>
      <c r="F8" s="13">
        <v>1.85</v>
      </c>
      <c r="G8" s="14">
        <v>1.99</v>
      </c>
    </row>
    <row r="9" spans="1:7" ht="13" x14ac:dyDescent="0.15">
      <c r="A9" s="390"/>
      <c r="B9" s="368"/>
      <c r="C9" s="12" t="s">
        <v>14</v>
      </c>
      <c r="D9" s="133">
        <v>1.59</v>
      </c>
      <c r="E9" s="13">
        <v>1.79</v>
      </c>
      <c r="F9" s="13">
        <v>1.85</v>
      </c>
      <c r="G9" s="14">
        <v>1.99</v>
      </c>
    </row>
    <row r="10" spans="1:7" ht="13" x14ac:dyDescent="0.15">
      <c r="A10" s="390"/>
      <c r="B10" s="368"/>
      <c r="C10" s="12" t="s">
        <v>15</v>
      </c>
      <c r="D10" s="133">
        <v>1.59</v>
      </c>
      <c r="E10" s="13">
        <v>1.79</v>
      </c>
      <c r="F10" s="13">
        <v>1.85</v>
      </c>
      <c r="G10" s="14">
        <v>1.99</v>
      </c>
    </row>
    <row r="11" spans="1:7" ht="13" x14ac:dyDescent="0.15">
      <c r="A11" s="390"/>
      <c r="B11" s="368"/>
      <c r="C11" s="12" t="s">
        <v>16</v>
      </c>
      <c r="D11" s="133">
        <v>1.59</v>
      </c>
      <c r="E11" s="13">
        <v>1.79</v>
      </c>
      <c r="F11" s="13">
        <v>1.85</v>
      </c>
      <c r="G11" s="14">
        <v>1.99</v>
      </c>
    </row>
    <row r="12" spans="1:7" ht="13" x14ac:dyDescent="0.15">
      <c r="A12" s="390"/>
      <c r="B12" s="368"/>
      <c r="C12" s="12" t="s">
        <v>17</v>
      </c>
      <c r="D12" s="133">
        <v>1.59</v>
      </c>
      <c r="E12" s="13">
        <v>1.79</v>
      </c>
      <c r="F12" s="13">
        <v>1.85</v>
      </c>
      <c r="G12" s="14">
        <v>1.99</v>
      </c>
    </row>
    <row r="13" spans="1:7" ht="13" x14ac:dyDescent="0.15">
      <c r="A13" s="390"/>
      <c r="B13" s="368"/>
      <c r="C13" s="12" t="s">
        <v>18</v>
      </c>
      <c r="D13" s="133">
        <v>1.59</v>
      </c>
      <c r="E13" s="13">
        <v>1.79</v>
      </c>
      <c r="F13" s="13">
        <v>1.85</v>
      </c>
      <c r="G13" s="14">
        <v>1.99</v>
      </c>
    </row>
    <row r="14" spans="1:7" ht="13" x14ac:dyDescent="0.15">
      <c r="A14" s="390"/>
      <c r="B14" s="368"/>
      <c r="C14" s="12" t="s">
        <v>19</v>
      </c>
      <c r="D14" s="133">
        <v>1.59</v>
      </c>
      <c r="E14" s="13">
        <v>1.79</v>
      </c>
      <c r="F14" s="13">
        <v>1.85</v>
      </c>
      <c r="G14" s="14">
        <v>1.99</v>
      </c>
    </row>
    <row r="15" spans="1:7" ht="13" x14ac:dyDescent="0.15">
      <c r="A15" s="390"/>
      <c r="B15" s="366"/>
      <c r="C15" s="12" t="s">
        <v>20</v>
      </c>
      <c r="D15" s="133">
        <v>1.59</v>
      </c>
      <c r="E15" s="13">
        <v>1.79</v>
      </c>
      <c r="F15" s="13">
        <v>1.85</v>
      </c>
      <c r="G15" s="14">
        <v>1.99</v>
      </c>
    </row>
    <row r="16" spans="1:7" ht="14" x14ac:dyDescent="0.15">
      <c r="A16" s="390"/>
      <c r="B16" s="16" t="s">
        <v>21</v>
      </c>
      <c r="C16" s="12" t="s">
        <v>720</v>
      </c>
      <c r="D16" s="133">
        <v>2.99</v>
      </c>
      <c r="E16" s="13">
        <v>2.99</v>
      </c>
      <c r="F16" s="13">
        <v>3.29</v>
      </c>
      <c r="G16" s="14">
        <v>3.49</v>
      </c>
    </row>
    <row r="17" spans="1:7" ht="14" x14ac:dyDescent="0.15">
      <c r="A17" s="390"/>
      <c r="B17" s="16" t="s">
        <v>22</v>
      </c>
      <c r="C17" s="12" t="s">
        <v>23</v>
      </c>
      <c r="D17" s="133">
        <v>2.65</v>
      </c>
      <c r="E17" s="13">
        <v>2.99</v>
      </c>
      <c r="F17" s="13">
        <v>2.99</v>
      </c>
      <c r="G17" s="14">
        <v>3.25</v>
      </c>
    </row>
    <row r="18" spans="1:7" ht="13" x14ac:dyDescent="0.15">
      <c r="A18" s="390"/>
      <c r="B18" s="413" t="s">
        <v>24</v>
      </c>
      <c r="C18" s="12" t="s">
        <v>25</v>
      </c>
      <c r="D18" s="133">
        <v>1.85</v>
      </c>
      <c r="E18" s="17">
        <v>1.99</v>
      </c>
      <c r="F18" s="13">
        <v>1.99</v>
      </c>
      <c r="G18" s="18">
        <v>2.25</v>
      </c>
    </row>
    <row r="19" spans="1:7" ht="13" x14ac:dyDescent="0.15">
      <c r="A19" s="391"/>
      <c r="B19" s="414"/>
      <c r="C19" s="19" t="s">
        <v>26</v>
      </c>
      <c r="D19" s="134">
        <v>1.99</v>
      </c>
      <c r="E19" s="13">
        <v>1.99</v>
      </c>
      <c r="F19" s="92">
        <v>1.99</v>
      </c>
      <c r="G19" s="14">
        <v>2.25</v>
      </c>
    </row>
    <row r="20" spans="1:7" ht="13" x14ac:dyDescent="0.15">
      <c r="A20" s="400" t="s">
        <v>27</v>
      </c>
      <c r="B20" s="402" t="s">
        <v>28</v>
      </c>
      <c r="C20" s="7" t="s">
        <v>16</v>
      </c>
      <c r="D20" s="131">
        <v>2.99</v>
      </c>
      <c r="E20" s="13">
        <v>3.25</v>
      </c>
      <c r="F20" s="132">
        <v>3.49</v>
      </c>
      <c r="G20" s="14">
        <v>3.89</v>
      </c>
    </row>
    <row r="21" spans="1:7" ht="13" x14ac:dyDescent="0.15">
      <c r="A21" s="390"/>
      <c r="B21" s="368"/>
      <c r="C21" s="12" t="s">
        <v>18</v>
      </c>
      <c r="D21" s="133">
        <v>2.99</v>
      </c>
      <c r="E21" s="13">
        <v>3.25</v>
      </c>
      <c r="F21" s="13">
        <v>3.49</v>
      </c>
      <c r="G21" s="14">
        <v>3.89</v>
      </c>
    </row>
    <row r="22" spans="1:7" ht="13" x14ac:dyDescent="0.15">
      <c r="A22" s="390"/>
      <c r="B22" s="368"/>
      <c r="C22" s="12" t="s">
        <v>20</v>
      </c>
      <c r="D22" s="133">
        <v>2.99</v>
      </c>
      <c r="E22" s="13">
        <v>3.25</v>
      </c>
      <c r="F22" s="13">
        <v>3.49</v>
      </c>
      <c r="G22" s="14">
        <v>3.89</v>
      </c>
    </row>
    <row r="23" spans="1:7" ht="13" x14ac:dyDescent="0.15">
      <c r="A23" s="390"/>
      <c r="B23" s="368"/>
      <c r="C23" s="12" t="s">
        <v>29</v>
      </c>
      <c r="D23" s="133">
        <v>2.99</v>
      </c>
      <c r="E23" s="13">
        <v>3.25</v>
      </c>
      <c r="F23" s="13">
        <v>3.49</v>
      </c>
      <c r="G23" s="14">
        <v>3.89</v>
      </c>
    </row>
    <row r="24" spans="1:7" ht="13" x14ac:dyDescent="0.15">
      <c r="A24" s="390"/>
      <c r="B24" s="366"/>
      <c r="C24" s="12" t="s">
        <v>30</v>
      </c>
      <c r="D24" s="133">
        <v>2.99</v>
      </c>
      <c r="E24" s="13">
        <v>3.25</v>
      </c>
      <c r="F24" s="13">
        <v>3.49</v>
      </c>
      <c r="G24" s="14">
        <v>3.89</v>
      </c>
    </row>
    <row r="25" spans="1:7" ht="13" x14ac:dyDescent="0.15">
      <c r="A25" s="390"/>
      <c r="B25" s="401" t="s">
        <v>31</v>
      </c>
      <c r="C25" s="12" t="s">
        <v>16</v>
      </c>
      <c r="D25" s="133">
        <v>2.99</v>
      </c>
      <c r="E25" s="13">
        <v>3.25</v>
      </c>
      <c r="F25" s="13">
        <v>3.49</v>
      </c>
      <c r="G25" s="14">
        <v>3.89</v>
      </c>
    </row>
    <row r="26" spans="1:7" ht="13" x14ac:dyDescent="0.15">
      <c r="A26" s="390"/>
      <c r="B26" s="368"/>
      <c r="C26" s="12" t="s">
        <v>18</v>
      </c>
      <c r="D26" s="133">
        <v>2.99</v>
      </c>
      <c r="E26" s="13">
        <v>3.25</v>
      </c>
      <c r="F26" s="13">
        <v>3.49</v>
      </c>
      <c r="G26" s="14">
        <v>3.89</v>
      </c>
    </row>
    <row r="27" spans="1:7" ht="13" x14ac:dyDescent="0.15">
      <c r="A27" s="390"/>
      <c r="B27" s="368"/>
      <c r="C27" s="12" t="s">
        <v>20</v>
      </c>
      <c r="D27" s="133">
        <v>2.99</v>
      </c>
      <c r="E27" s="13">
        <v>3.25</v>
      </c>
      <c r="F27" s="13">
        <v>3.49</v>
      </c>
      <c r="G27" s="14">
        <v>3.89</v>
      </c>
    </row>
    <row r="28" spans="1:7" ht="13" x14ac:dyDescent="0.15">
      <c r="A28" s="390"/>
      <c r="B28" s="368"/>
      <c r="C28" s="12" t="s">
        <v>29</v>
      </c>
      <c r="D28" s="133">
        <v>2.99</v>
      </c>
      <c r="E28" s="13">
        <v>3.25</v>
      </c>
      <c r="F28" s="13">
        <v>3.49</v>
      </c>
      <c r="G28" s="14">
        <v>3.89</v>
      </c>
    </row>
    <row r="29" spans="1:7" ht="13" x14ac:dyDescent="0.15">
      <c r="A29" s="390"/>
      <c r="B29" s="368"/>
      <c r="C29" s="20" t="s">
        <v>30</v>
      </c>
      <c r="D29" s="135">
        <v>2.99</v>
      </c>
      <c r="E29" s="13">
        <v>3.25</v>
      </c>
      <c r="F29" s="13">
        <v>3.49</v>
      </c>
      <c r="G29" s="14">
        <v>3.89</v>
      </c>
    </row>
    <row r="30" spans="1:7" ht="13" x14ac:dyDescent="0.15">
      <c r="A30" s="390"/>
      <c r="B30" s="366"/>
      <c r="C30" s="21" t="s">
        <v>33</v>
      </c>
      <c r="D30" s="133">
        <v>3.48</v>
      </c>
      <c r="E30" s="13">
        <v>3.48</v>
      </c>
      <c r="F30" s="13">
        <v>3.89</v>
      </c>
      <c r="G30" s="14">
        <v>3.89</v>
      </c>
    </row>
    <row r="31" spans="1:7" ht="13" x14ac:dyDescent="0.15">
      <c r="A31" s="390"/>
      <c r="B31" s="401" t="s">
        <v>35</v>
      </c>
      <c r="C31" s="8" t="s">
        <v>36</v>
      </c>
      <c r="D31" s="136">
        <v>2.59</v>
      </c>
      <c r="E31" s="13">
        <v>2.85</v>
      </c>
      <c r="F31" s="9">
        <v>2.89</v>
      </c>
      <c r="G31" s="14">
        <v>2.99</v>
      </c>
    </row>
    <row r="32" spans="1:7" ht="13" x14ac:dyDescent="0.15">
      <c r="A32" s="390"/>
      <c r="B32" s="368"/>
      <c r="C32" s="12" t="s">
        <v>37</v>
      </c>
      <c r="D32" s="133">
        <v>2.59</v>
      </c>
      <c r="E32" s="13">
        <v>2.85</v>
      </c>
      <c r="F32" s="13">
        <v>2.89</v>
      </c>
      <c r="G32" s="14">
        <v>2.99</v>
      </c>
    </row>
    <row r="33" spans="1:7" ht="13" x14ac:dyDescent="0.15">
      <c r="A33" s="390"/>
      <c r="B33" s="366"/>
      <c r="C33" s="12" t="s">
        <v>18</v>
      </c>
      <c r="D33" s="133">
        <v>2.59</v>
      </c>
      <c r="E33" s="13">
        <v>2.85</v>
      </c>
      <c r="F33" s="13">
        <v>2.89</v>
      </c>
      <c r="G33" s="14">
        <v>2.99</v>
      </c>
    </row>
    <row r="34" spans="1:7" ht="13" x14ac:dyDescent="0.15">
      <c r="A34" s="390"/>
      <c r="B34" s="401" t="s">
        <v>38</v>
      </c>
      <c r="C34" s="12" t="s">
        <v>16</v>
      </c>
      <c r="D34" s="133">
        <v>3.25</v>
      </c>
      <c r="E34" s="13">
        <v>3.49</v>
      </c>
      <c r="F34" s="13">
        <v>3.79</v>
      </c>
      <c r="G34" s="14">
        <v>3.99</v>
      </c>
    </row>
    <row r="35" spans="1:7" ht="13" x14ac:dyDescent="0.15">
      <c r="A35" s="390"/>
      <c r="B35" s="366"/>
      <c r="C35" s="12" t="s">
        <v>8</v>
      </c>
      <c r="D35" s="133">
        <v>3.25</v>
      </c>
      <c r="E35" s="13">
        <v>3.49</v>
      </c>
      <c r="F35" s="13">
        <v>3.79</v>
      </c>
      <c r="G35" s="14">
        <v>3.99</v>
      </c>
    </row>
    <row r="36" spans="1:7" ht="13" x14ac:dyDescent="0.15">
      <c r="A36" s="390"/>
      <c r="B36" s="401" t="s">
        <v>39</v>
      </c>
      <c r="C36" s="12" t="s">
        <v>40</v>
      </c>
      <c r="D36" s="133">
        <v>3.99</v>
      </c>
      <c r="E36" s="17">
        <v>4.29</v>
      </c>
      <c r="F36" s="13">
        <v>4.49</v>
      </c>
      <c r="G36" s="18">
        <v>4.8899999999999997</v>
      </c>
    </row>
    <row r="37" spans="1:7" ht="13" x14ac:dyDescent="0.15">
      <c r="A37" s="391"/>
      <c r="B37" s="378"/>
      <c r="C37" s="19" t="s">
        <v>41</v>
      </c>
      <c r="D37" s="134">
        <v>19.989999999999998</v>
      </c>
      <c r="E37" s="17">
        <v>19.989999999999998</v>
      </c>
      <c r="F37" s="92">
        <v>22</v>
      </c>
      <c r="G37" s="18">
        <v>23.99</v>
      </c>
    </row>
    <row r="38" spans="1:7" ht="13" x14ac:dyDescent="0.15">
      <c r="A38" s="400" t="s">
        <v>42</v>
      </c>
      <c r="B38" s="402" t="s">
        <v>43</v>
      </c>
      <c r="C38" s="7" t="s">
        <v>19</v>
      </c>
      <c r="D38" s="131">
        <v>1.1499999999999999</v>
      </c>
      <c r="E38" s="13">
        <v>1.25</v>
      </c>
      <c r="F38" s="132">
        <v>1.35</v>
      </c>
      <c r="G38" s="14">
        <v>1.49</v>
      </c>
    </row>
    <row r="39" spans="1:7" ht="13" x14ac:dyDescent="0.15">
      <c r="A39" s="390"/>
      <c r="B39" s="368"/>
      <c r="C39" s="21" t="s">
        <v>18</v>
      </c>
      <c r="D39" s="133">
        <v>1.1499999999999999</v>
      </c>
      <c r="E39" s="13">
        <v>1.25</v>
      </c>
      <c r="F39" s="13">
        <v>1.35</v>
      </c>
      <c r="G39" s="14">
        <v>1.49</v>
      </c>
    </row>
    <row r="40" spans="1:7" ht="13" x14ac:dyDescent="0.15">
      <c r="A40" s="390"/>
      <c r="B40" s="368"/>
      <c r="C40" s="21" t="s">
        <v>44</v>
      </c>
      <c r="D40" s="133">
        <v>1.1499999999999999</v>
      </c>
      <c r="E40" s="13">
        <v>1.25</v>
      </c>
      <c r="F40" s="13">
        <v>1.35</v>
      </c>
      <c r="G40" s="14">
        <v>1.49</v>
      </c>
    </row>
    <row r="41" spans="1:7" ht="13" x14ac:dyDescent="0.15">
      <c r="A41" s="390"/>
      <c r="B41" s="368"/>
      <c r="C41" s="21" t="s">
        <v>45</v>
      </c>
      <c r="D41" s="133">
        <v>1.1499999999999999</v>
      </c>
      <c r="E41" s="13">
        <v>1.25</v>
      </c>
      <c r="F41" s="13">
        <v>1.35</v>
      </c>
      <c r="G41" s="14">
        <v>1.49</v>
      </c>
    </row>
    <row r="42" spans="1:7" ht="13" x14ac:dyDescent="0.15">
      <c r="A42" s="390"/>
      <c r="B42" s="368"/>
      <c r="C42" s="21" t="s">
        <v>36</v>
      </c>
      <c r="D42" s="133">
        <v>1.1499999999999999</v>
      </c>
      <c r="E42" s="13">
        <v>1.25</v>
      </c>
      <c r="F42" s="13">
        <v>1.35</v>
      </c>
      <c r="G42" s="14">
        <v>1.49</v>
      </c>
    </row>
    <row r="43" spans="1:7" ht="13" x14ac:dyDescent="0.15">
      <c r="A43" s="390"/>
      <c r="B43" s="366"/>
      <c r="C43" s="21" t="s">
        <v>46</v>
      </c>
      <c r="D43" s="133">
        <v>1.1499999999999999</v>
      </c>
      <c r="E43" s="13">
        <v>1.25</v>
      </c>
      <c r="F43" s="13">
        <v>1.35</v>
      </c>
      <c r="G43" s="14">
        <v>1.49</v>
      </c>
    </row>
    <row r="44" spans="1:7" ht="14" x14ac:dyDescent="0.15">
      <c r="A44" s="391"/>
      <c r="B44" s="26" t="s">
        <v>47</v>
      </c>
      <c r="C44" s="19" t="s">
        <v>19</v>
      </c>
      <c r="D44" s="134">
        <v>1.55</v>
      </c>
      <c r="E44" s="13">
        <v>1.69</v>
      </c>
      <c r="F44" s="92">
        <v>1.79</v>
      </c>
      <c r="G44" s="14">
        <v>1.99</v>
      </c>
    </row>
    <row r="45" spans="1:7" ht="13" x14ac:dyDescent="0.15">
      <c r="A45" s="427" t="s">
        <v>48</v>
      </c>
      <c r="B45" s="402" t="s">
        <v>49</v>
      </c>
      <c r="C45" s="25" t="s">
        <v>50</v>
      </c>
      <c r="D45" s="131">
        <v>1.69</v>
      </c>
      <c r="E45" s="13">
        <v>1.69</v>
      </c>
      <c r="F45" s="132">
        <v>1.89</v>
      </c>
      <c r="G45" s="14">
        <v>1.99</v>
      </c>
    </row>
    <row r="46" spans="1:7" ht="13" x14ac:dyDescent="0.15">
      <c r="A46" s="390"/>
      <c r="B46" s="366"/>
      <c r="C46" s="12" t="s">
        <v>51</v>
      </c>
      <c r="D46" s="133">
        <v>2.99</v>
      </c>
      <c r="E46" s="13">
        <v>2.99</v>
      </c>
      <c r="F46" s="13">
        <v>3.49</v>
      </c>
      <c r="G46" s="14">
        <v>3.85</v>
      </c>
    </row>
    <row r="47" spans="1:7" ht="14" x14ac:dyDescent="0.15">
      <c r="A47" s="391"/>
      <c r="B47" s="26" t="s">
        <v>52</v>
      </c>
      <c r="C47" s="27" t="s">
        <v>51</v>
      </c>
      <c r="D47" s="134">
        <v>2.89</v>
      </c>
      <c r="E47" s="13">
        <v>2.89</v>
      </c>
      <c r="F47" s="92">
        <v>3.39</v>
      </c>
      <c r="G47" s="14">
        <v>3.39</v>
      </c>
    </row>
    <row r="48" spans="1:7" ht="13" x14ac:dyDescent="0.15">
      <c r="A48" s="393" t="s">
        <v>53</v>
      </c>
      <c r="B48" s="402" t="s">
        <v>54</v>
      </c>
      <c r="C48" s="7" t="s">
        <v>36</v>
      </c>
      <c r="D48" s="131">
        <v>2.39</v>
      </c>
      <c r="E48" s="13">
        <v>2.4900000000000002</v>
      </c>
      <c r="F48" s="132">
        <v>2.69</v>
      </c>
      <c r="G48" s="14">
        <v>2.89</v>
      </c>
    </row>
    <row r="49" spans="1:7" ht="13" x14ac:dyDescent="0.15">
      <c r="A49" s="390"/>
      <c r="B49" s="366"/>
      <c r="C49" s="21" t="s">
        <v>55</v>
      </c>
      <c r="D49" s="133">
        <v>2.39</v>
      </c>
      <c r="E49" s="13">
        <f>D49*1.04</f>
        <v>2.4856000000000003</v>
      </c>
      <c r="F49" s="13">
        <v>2.69</v>
      </c>
      <c r="G49" s="14">
        <v>2.89</v>
      </c>
    </row>
    <row r="50" spans="1:7" ht="14" x14ac:dyDescent="0.15">
      <c r="A50" s="390"/>
      <c r="B50" s="16" t="s">
        <v>56</v>
      </c>
      <c r="C50" s="21"/>
      <c r="D50" s="133">
        <v>2.99</v>
      </c>
      <c r="E50" s="13">
        <v>3.29</v>
      </c>
      <c r="F50" s="13">
        <v>3.75</v>
      </c>
      <c r="G50" s="14">
        <v>3.89</v>
      </c>
    </row>
    <row r="51" spans="1:7" ht="14" x14ac:dyDescent="0.15">
      <c r="A51" s="390"/>
      <c r="B51" s="16" t="s">
        <v>58</v>
      </c>
      <c r="C51" s="21"/>
      <c r="D51" s="133">
        <v>2.25</v>
      </c>
      <c r="E51" s="13">
        <v>2.25</v>
      </c>
      <c r="F51" s="13">
        <v>2.4500000000000002</v>
      </c>
      <c r="G51" s="14">
        <v>2.4900000000000002</v>
      </c>
    </row>
    <row r="52" spans="1:7" ht="14" x14ac:dyDescent="0.15">
      <c r="A52" s="391"/>
      <c r="B52" s="26" t="s">
        <v>59</v>
      </c>
      <c r="C52" s="27"/>
      <c r="D52" s="134">
        <v>1.49</v>
      </c>
      <c r="E52" s="13">
        <v>1.49</v>
      </c>
      <c r="F52" s="92">
        <v>1.69</v>
      </c>
      <c r="G52" s="14">
        <v>1.69</v>
      </c>
    </row>
    <row r="53" spans="1:7" ht="13" x14ac:dyDescent="0.15">
      <c r="A53" s="400" t="s">
        <v>67</v>
      </c>
      <c r="B53" s="402" t="s">
        <v>68</v>
      </c>
      <c r="C53" s="25" t="s">
        <v>8</v>
      </c>
      <c r="D53" s="131">
        <v>17.989999999999998</v>
      </c>
      <c r="E53" s="13">
        <v>19.489999999999998</v>
      </c>
      <c r="F53" s="132">
        <v>19.989999999999998</v>
      </c>
      <c r="G53" s="14">
        <v>21.99</v>
      </c>
    </row>
    <row r="54" spans="1:7" ht="13" x14ac:dyDescent="0.15">
      <c r="A54" s="390"/>
      <c r="B54" s="368"/>
      <c r="C54" s="21" t="s">
        <v>9</v>
      </c>
      <c r="D54" s="133">
        <v>17.989999999999998</v>
      </c>
      <c r="E54" s="13">
        <v>19.489999999999998</v>
      </c>
      <c r="F54" s="13">
        <v>19.989999999999998</v>
      </c>
      <c r="G54" s="14">
        <v>21.99</v>
      </c>
    </row>
    <row r="55" spans="1:7" ht="13" x14ac:dyDescent="0.15">
      <c r="A55" s="390"/>
      <c r="B55" s="368"/>
      <c r="C55" s="21" t="s">
        <v>10</v>
      </c>
      <c r="D55" s="133">
        <v>17.989999999999998</v>
      </c>
      <c r="E55" s="13">
        <v>19.489999999999998</v>
      </c>
      <c r="F55" s="13">
        <v>19.989999999999998</v>
      </c>
      <c r="G55" s="14">
        <v>21.99</v>
      </c>
    </row>
    <row r="56" spans="1:7" ht="13" x14ac:dyDescent="0.15">
      <c r="A56" s="390"/>
      <c r="B56" s="366"/>
      <c r="C56" s="21" t="s">
        <v>16</v>
      </c>
      <c r="D56" s="133">
        <v>17.989999999999998</v>
      </c>
      <c r="E56" s="13">
        <v>19.489999999999998</v>
      </c>
      <c r="F56" s="13">
        <v>19.989999999999998</v>
      </c>
      <c r="G56" s="14">
        <v>21.99</v>
      </c>
    </row>
    <row r="57" spans="1:7" ht="13" x14ac:dyDescent="0.15">
      <c r="A57" s="390"/>
      <c r="B57" s="401" t="s">
        <v>75</v>
      </c>
      <c r="C57" s="21" t="s">
        <v>76</v>
      </c>
      <c r="D57" s="133">
        <v>29.99</v>
      </c>
      <c r="E57" s="13">
        <v>34.99</v>
      </c>
      <c r="F57" s="13">
        <v>37.99</v>
      </c>
      <c r="G57" s="14">
        <v>42.99</v>
      </c>
    </row>
    <row r="58" spans="1:7" ht="13" x14ac:dyDescent="0.15">
      <c r="A58" s="390"/>
      <c r="B58" s="366"/>
      <c r="C58" s="12" t="s">
        <v>77</v>
      </c>
      <c r="D58" s="133">
        <v>29.99</v>
      </c>
      <c r="E58" s="13">
        <v>34.99</v>
      </c>
      <c r="F58" s="13">
        <v>37.99</v>
      </c>
      <c r="G58" s="14">
        <v>42.99</v>
      </c>
    </row>
    <row r="59" spans="1:7" ht="13" x14ac:dyDescent="0.15">
      <c r="A59" s="390"/>
      <c r="B59" s="401" t="s">
        <v>78</v>
      </c>
      <c r="C59" s="21" t="s">
        <v>79</v>
      </c>
      <c r="D59" s="133">
        <v>12.5</v>
      </c>
      <c r="E59" s="13">
        <v>12.99</v>
      </c>
      <c r="F59" s="13">
        <v>14.99</v>
      </c>
      <c r="G59" s="14">
        <v>16.489999999999998</v>
      </c>
    </row>
    <row r="60" spans="1:7" ht="13" x14ac:dyDescent="0.15">
      <c r="A60" s="390"/>
      <c r="B60" s="366"/>
      <c r="C60" s="21" t="s">
        <v>80</v>
      </c>
      <c r="D60" s="133">
        <v>17.989999999999998</v>
      </c>
      <c r="E60" s="13">
        <v>18.75</v>
      </c>
      <c r="F60" s="13">
        <v>19.989999999999998</v>
      </c>
      <c r="G60" s="14">
        <v>19.989999999999998</v>
      </c>
    </row>
    <row r="61" spans="1:7" ht="14" x14ac:dyDescent="0.15">
      <c r="A61" s="391"/>
      <c r="B61" s="26" t="s">
        <v>81</v>
      </c>
      <c r="C61" s="27"/>
      <c r="D61" s="134">
        <v>24.99</v>
      </c>
      <c r="E61" s="17">
        <v>28.75</v>
      </c>
      <c r="F61" s="92">
        <v>29.99</v>
      </c>
      <c r="G61" s="18">
        <v>31.99</v>
      </c>
    </row>
    <row r="62" spans="1:7" ht="14" x14ac:dyDescent="0.15">
      <c r="A62" s="400" t="s">
        <v>88</v>
      </c>
      <c r="B62" s="33" t="s">
        <v>89</v>
      </c>
      <c r="C62" s="25"/>
      <c r="D62" s="131">
        <v>2.4900000000000002</v>
      </c>
      <c r="E62" s="13">
        <v>2.4900000000000002</v>
      </c>
      <c r="F62" s="132">
        <v>2.69</v>
      </c>
      <c r="G62" s="14">
        <v>2.79</v>
      </c>
    </row>
    <row r="63" spans="1:7" ht="14" x14ac:dyDescent="0.15">
      <c r="A63" s="390"/>
      <c r="B63" s="16" t="s">
        <v>90</v>
      </c>
      <c r="C63" s="21"/>
      <c r="D63" s="133">
        <v>4.49</v>
      </c>
      <c r="E63" s="13">
        <v>4.99</v>
      </c>
      <c r="F63" s="13">
        <v>4.99</v>
      </c>
      <c r="G63" s="14">
        <v>5.49</v>
      </c>
    </row>
    <row r="64" spans="1:7" ht="13" x14ac:dyDescent="0.15">
      <c r="A64" s="390"/>
      <c r="B64" s="401" t="s">
        <v>91</v>
      </c>
      <c r="C64" s="21" t="s">
        <v>721</v>
      </c>
      <c r="D64" s="133">
        <v>3.99</v>
      </c>
      <c r="E64" s="13">
        <v>4.49</v>
      </c>
      <c r="F64" s="13">
        <v>4.99</v>
      </c>
      <c r="G64" s="14">
        <v>5.49</v>
      </c>
    </row>
    <row r="65" spans="1:7" ht="13" x14ac:dyDescent="0.15">
      <c r="A65" s="391"/>
      <c r="B65" s="378"/>
      <c r="C65" s="19" t="s">
        <v>93</v>
      </c>
      <c r="D65" s="134">
        <v>4.49</v>
      </c>
      <c r="E65" s="13">
        <v>4.49</v>
      </c>
      <c r="F65" s="92">
        <v>4.99</v>
      </c>
      <c r="G65" s="14">
        <v>5.49</v>
      </c>
    </row>
    <row r="66" spans="1:7" ht="42" x14ac:dyDescent="0.15">
      <c r="A66" s="400" t="s">
        <v>94</v>
      </c>
      <c r="B66" s="33" t="s">
        <v>95</v>
      </c>
      <c r="C66" s="25"/>
      <c r="D66" s="131">
        <v>8.99</v>
      </c>
      <c r="E66" s="13">
        <v>8.99</v>
      </c>
      <c r="F66" s="132">
        <v>10.29</v>
      </c>
      <c r="G66" s="14">
        <v>10.29</v>
      </c>
    </row>
    <row r="67" spans="1:7" ht="28" x14ac:dyDescent="0.15">
      <c r="A67" s="390"/>
      <c r="B67" s="16" t="s">
        <v>96</v>
      </c>
      <c r="C67" s="21"/>
      <c r="D67" s="133">
        <v>7.49</v>
      </c>
      <c r="E67" s="13">
        <v>7.49</v>
      </c>
      <c r="F67" s="13">
        <v>8.2899999999999991</v>
      </c>
      <c r="G67" s="14">
        <v>8.2899999999999991</v>
      </c>
    </row>
    <row r="68" spans="1:7" ht="14" x14ac:dyDescent="0.15">
      <c r="A68" s="391"/>
      <c r="B68" s="26" t="s">
        <v>97</v>
      </c>
      <c r="C68" s="27"/>
      <c r="D68" s="134">
        <v>4.99</v>
      </c>
      <c r="E68" s="13">
        <v>5.99</v>
      </c>
      <c r="F68" s="92">
        <v>5.69</v>
      </c>
      <c r="G68" s="14">
        <v>6.79</v>
      </c>
    </row>
    <row r="69" spans="1:7" ht="13" x14ac:dyDescent="0.15">
      <c r="A69" s="400" t="s">
        <v>98</v>
      </c>
      <c r="B69" s="402" t="s">
        <v>722</v>
      </c>
      <c r="C69" s="7" t="s">
        <v>723</v>
      </c>
      <c r="D69" s="131">
        <v>2.99</v>
      </c>
      <c r="E69" s="13">
        <v>3.49</v>
      </c>
      <c r="F69" s="132">
        <v>3.49</v>
      </c>
      <c r="G69" s="14">
        <v>3.79</v>
      </c>
    </row>
    <row r="70" spans="1:7" ht="13" x14ac:dyDescent="0.15">
      <c r="A70" s="390"/>
      <c r="B70" s="366"/>
      <c r="C70" s="21" t="s">
        <v>724</v>
      </c>
      <c r="D70" s="133"/>
      <c r="E70" s="13"/>
      <c r="F70" s="13"/>
      <c r="G70" s="14"/>
    </row>
    <row r="71" spans="1:7" ht="13" x14ac:dyDescent="0.15">
      <c r="A71" s="390"/>
      <c r="B71" s="401" t="s">
        <v>725</v>
      </c>
      <c r="C71" s="12" t="s">
        <v>102</v>
      </c>
      <c r="D71" s="133">
        <v>2.99</v>
      </c>
      <c r="E71" s="13">
        <v>3.49</v>
      </c>
      <c r="F71" s="13">
        <v>3.49</v>
      </c>
      <c r="G71" s="14">
        <v>3.79</v>
      </c>
    </row>
    <row r="72" spans="1:7" ht="13" x14ac:dyDescent="0.15">
      <c r="A72" s="391"/>
      <c r="B72" s="378"/>
      <c r="C72" s="19" t="s">
        <v>103</v>
      </c>
      <c r="D72" s="134"/>
      <c r="E72" s="13"/>
      <c r="F72" s="92"/>
      <c r="G72" s="14"/>
    </row>
    <row r="73" spans="1:7" ht="14" x14ac:dyDescent="0.15">
      <c r="A73" s="400" t="s">
        <v>104</v>
      </c>
      <c r="B73" s="40" t="s">
        <v>105</v>
      </c>
      <c r="C73" s="30" t="s">
        <v>106</v>
      </c>
      <c r="D73" s="137">
        <v>0.99</v>
      </c>
      <c r="E73" s="13">
        <v>0.99</v>
      </c>
      <c r="F73" s="138">
        <v>1.49</v>
      </c>
      <c r="G73" s="14">
        <v>1.49</v>
      </c>
    </row>
    <row r="74" spans="1:7" ht="14" x14ac:dyDescent="0.15">
      <c r="A74" s="390"/>
      <c r="B74" s="41" t="s">
        <v>108</v>
      </c>
      <c r="C74" s="25" t="s">
        <v>109</v>
      </c>
      <c r="D74" s="131">
        <v>29.99</v>
      </c>
      <c r="E74" s="13">
        <v>34.99</v>
      </c>
      <c r="F74" s="132">
        <v>34.99</v>
      </c>
      <c r="G74" s="14">
        <v>37.99</v>
      </c>
    </row>
    <row r="75" spans="1:7" ht="14" x14ac:dyDescent="0.15">
      <c r="A75" s="390"/>
      <c r="B75" s="16" t="s">
        <v>110</v>
      </c>
      <c r="C75" s="21" t="s">
        <v>111</v>
      </c>
      <c r="D75" s="133">
        <v>7.49</v>
      </c>
      <c r="E75" s="13">
        <v>8.49</v>
      </c>
      <c r="F75" s="13">
        <v>7.99</v>
      </c>
      <c r="G75" s="14">
        <v>8.69</v>
      </c>
    </row>
    <row r="76" spans="1:7" ht="14" x14ac:dyDescent="0.15">
      <c r="A76" s="390"/>
      <c r="B76" s="16" t="s">
        <v>114</v>
      </c>
      <c r="C76" s="21" t="s">
        <v>115</v>
      </c>
      <c r="D76" s="133">
        <v>4.99</v>
      </c>
      <c r="E76" s="13">
        <v>4.99</v>
      </c>
      <c r="F76" s="13">
        <v>5.69</v>
      </c>
      <c r="G76" s="14">
        <v>6.25</v>
      </c>
    </row>
    <row r="77" spans="1:7" ht="28" x14ac:dyDescent="0.15">
      <c r="A77" s="390"/>
      <c r="B77" s="43" t="s">
        <v>116</v>
      </c>
      <c r="C77" s="139" t="s">
        <v>117</v>
      </c>
      <c r="D77" s="133">
        <v>8.99</v>
      </c>
      <c r="E77" s="13">
        <v>9.49</v>
      </c>
      <c r="F77" s="13">
        <v>9.99</v>
      </c>
      <c r="G77" s="14">
        <v>10.99</v>
      </c>
    </row>
    <row r="78" spans="1:7" ht="14" x14ac:dyDescent="0.15">
      <c r="A78" s="390"/>
      <c r="B78" s="16" t="s">
        <v>118</v>
      </c>
      <c r="C78" s="21" t="s">
        <v>726</v>
      </c>
      <c r="D78" s="133">
        <v>5.99</v>
      </c>
      <c r="E78" s="13">
        <v>6.59</v>
      </c>
      <c r="F78" s="13">
        <v>6.89</v>
      </c>
      <c r="G78" s="14">
        <v>7.49</v>
      </c>
    </row>
    <row r="79" spans="1:7" ht="13" x14ac:dyDescent="0.15">
      <c r="A79" s="390"/>
      <c r="B79" s="401" t="s">
        <v>120</v>
      </c>
      <c r="C79" s="21" t="s">
        <v>40</v>
      </c>
      <c r="D79" s="133">
        <v>4.99</v>
      </c>
      <c r="E79" s="17">
        <v>4.99</v>
      </c>
      <c r="F79" s="13">
        <v>5.99</v>
      </c>
      <c r="G79" s="18">
        <v>5.99</v>
      </c>
    </row>
    <row r="80" spans="1:7" ht="13" x14ac:dyDescent="0.15">
      <c r="A80" s="391"/>
      <c r="B80" s="378"/>
      <c r="C80" s="27" t="s">
        <v>121</v>
      </c>
      <c r="D80" s="134">
        <v>25</v>
      </c>
      <c r="E80" s="17">
        <v>25</v>
      </c>
      <c r="F80" s="92">
        <v>29.99</v>
      </c>
      <c r="G80" s="18">
        <v>29.99</v>
      </c>
    </row>
    <row r="81" spans="1:7" ht="13" x14ac:dyDescent="0.15">
      <c r="A81" s="393" t="s">
        <v>122</v>
      </c>
      <c r="B81" s="402" t="s">
        <v>123</v>
      </c>
      <c r="C81" s="44" t="s">
        <v>124</v>
      </c>
      <c r="D81" s="140">
        <v>21.99</v>
      </c>
      <c r="E81" s="13">
        <v>21.99</v>
      </c>
      <c r="F81" s="141">
        <v>22.99</v>
      </c>
      <c r="G81" s="14">
        <v>22.99</v>
      </c>
    </row>
    <row r="82" spans="1:7" ht="13" x14ac:dyDescent="0.15">
      <c r="A82" s="390"/>
      <c r="B82" s="366"/>
      <c r="C82" s="46" t="s">
        <v>125</v>
      </c>
      <c r="D82" s="142">
        <v>24.99</v>
      </c>
      <c r="E82" s="13">
        <v>24.99</v>
      </c>
      <c r="F82" s="70">
        <v>25.99</v>
      </c>
      <c r="G82" s="14">
        <v>25.99</v>
      </c>
    </row>
    <row r="83" spans="1:7" ht="13" x14ac:dyDescent="0.15">
      <c r="A83" s="390"/>
      <c r="B83" s="401" t="s">
        <v>128</v>
      </c>
      <c r="C83" s="46" t="s">
        <v>129</v>
      </c>
      <c r="D83" s="142">
        <v>1.89</v>
      </c>
      <c r="E83" s="13">
        <v>1.89</v>
      </c>
      <c r="F83" s="70">
        <v>1.99</v>
      </c>
      <c r="G83" s="14">
        <v>1.99</v>
      </c>
    </row>
    <row r="84" spans="1:7" ht="13" x14ac:dyDescent="0.15">
      <c r="A84" s="390"/>
      <c r="B84" s="368"/>
      <c r="C84" s="46" t="s">
        <v>130</v>
      </c>
      <c r="D84" s="142">
        <v>2.39</v>
      </c>
      <c r="E84" s="13">
        <v>2.39</v>
      </c>
      <c r="F84" s="70">
        <v>2.69</v>
      </c>
      <c r="G84" s="14">
        <v>2.69</v>
      </c>
    </row>
    <row r="85" spans="1:7" ht="13" x14ac:dyDescent="0.15">
      <c r="A85" s="390"/>
      <c r="B85" s="366"/>
      <c r="C85" s="46" t="s">
        <v>131</v>
      </c>
      <c r="D85" s="142">
        <v>3.25</v>
      </c>
      <c r="E85" s="13">
        <v>3.25</v>
      </c>
      <c r="F85" s="70">
        <v>3.49</v>
      </c>
      <c r="G85" s="14">
        <v>3.49</v>
      </c>
    </row>
    <row r="86" spans="1:7" ht="13" x14ac:dyDescent="0.15">
      <c r="A86" s="390"/>
      <c r="B86" s="401" t="s">
        <v>125</v>
      </c>
      <c r="C86" s="46" t="s">
        <v>129</v>
      </c>
      <c r="D86" s="142">
        <v>2.59</v>
      </c>
      <c r="E86" s="13">
        <v>2.85</v>
      </c>
      <c r="F86" s="70">
        <v>2.99</v>
      </c>
      <c r="G86" s="14">
        <v>3.25</v>
      </c>
    </row>
    <row r="87" spans="1:7" ht="13" x14ac:dyDescent="0.15">
      <c r="A87" s="390"/>
      <c r="B87" s="368"/>
      <c r="C87" s="46" t="s">
        <v>130</v>
      </c>
      <c r="D87" s="142">
        <v>3.49</v>
      </c>
      <c r="E87" s="13">
        <v>3.79</v>
      </c>
      <c r="F87" s="70">
        <v>3.99</v>
      </c>
      <c r="G87" s="14">
        <v>4.3499999999999996</v>
      </c>
    </row>
    <row r="88" spans="1:7" ht="13" x14ac:dyDescent="0.15">
      <c r="A88" s="390"/>
      <c r="B88" s="366"/>
      <c r="C88" s="46" t="s">
        <v>131</v>
      </c>
      <c r="D88" s="142">
        <v>4.99</v>
      </c>
      <c r="E88" s="13">
        <v>4.99</v>
      </c>
      <c r="F88" s="70">
        <v>5.69</v>
      </c>
      <c r="G88" s="14">
        <v>6.25</v>
      </c>
    </row>
    <row r="89" spans="1:7" ht="13" x14ac:dyDescent="0.15">
      <c r="A89" s="390"/>
      <c r="B89" s="401" t="s">
        <v>132</v>
      </c>
      <c r="C89" s="46" t="s">
        <v>129</v>
      </c>
      <c r="D89" s="142">
        <v>2.79</v>
      </c>
      <c r="E89" s="13">
        <v>2.99</v>
      </c>
      <c r="F89" s="70">
        <v>3.29</v>
      </c>
      <c r="G89" s="14">
        <v>3.59</v>
      </c>
    </row>
    <row r="90" spans="1:7" ht="13" x14ac:dyDescent="0.15">
      <c r="A90" s="390"/>
      <c r="B90" s="368"/>
      <c r="C90" s="46" t="s">
        <v>130</v>
      </c>
      <c r="D90" s="142">
        <v>3.99</v>
      </c>
      <c r="E90" s="13">
        <v>3.99</v>
      </c>
      <c r="F90" s="70">
        <v>4.49</v>
      </c>
      <c r="G90" s="14">
        <v>4.8899999999999997</v>
      </c>
    </row>
    <row r="91" spans="1:7" ht="13" x14ac:dyDescent="0.15">
      <c r="A91" s="390"/>
      <c r="B91" s="366"/>
      <c r="C91" s="46" t="s">
        <v>131</v>
      </c>
      <c r="D91" s="142">
        <v>4.99</v>
      </c>
      <c r="E91" s="13">
        <v>4.99</v>
      </c>
      <c r="F91" s="70">
        <v>5.99</v>
      </c>
      <c r="G91" s="14">
        <v>6.59</v>
      </c>
    </row>
    <row r="92" spans="1:7" ht="13" x14ac:dyDescent="0.15">
      <c r="A92" s="390"/>
      <c r="B92" s="401" t="s">
        <v>133</v>
      </c>
      <c r="C92" s="46" t="s">
        <v>130</v>
      </c>
      <c r="D92" s="142">
        <v>3.99</v>
      </c>
      <c r="E92" s="13">
        <v>3.99</v>
      </c>
      <c r="F92" s="70">
        <v>4.49</v>
      </c>
      <c r="G92" s="14">
        <v>4.8899999999999997</v>
      </c>
    </row>
    <row r="93" spans="1:7" ht="13" x14ac:dyDescent="0.15">
      <c r="A93" s="390"/>
      <c r="B93" s="366"/>
      <c r="C93" s="46" t="s">
        <v>131</v>
      </c>
      <c r="D93" s="142">
        <v>4.99</v>
      </c>
      <c r="E93" s="13">
        <v>4.99</v>
      </c>
      <c r="F93" s="70">
        <v>5.99</v>
      </c>
      <c r="G93" s="14">
        <v>6.59</v>
      </c>
    </row>
    <row r="94" spans="1:7" ht="13" x14ac:dyDescent="0.15">
      <c r="A94" s="390"/>
      <c r="B94" s="401" t="s">
        <v>134</v>
      </c>
      <c r="C94" s="46" t="s">
        <v>135</v>
      </c>
      <c r="D94" s="142">
        <v>2.25</v>
      </c>
      <c r="E94" s="13">
        <v>2.4900000000000002</v>
      </c>
      <c r="F94" s="70">
        <v>2.59</v>
      </c>
      <c r="G94" s="14">
        <v>2.79</v>
      </c>
    </row>
    <row r="95" spans="1:7" ht="13" x14ac:dyDescent="0.15">
      <c r="A95" s="390"/>
      <c r="B95" s="366"/>
      <c r="C95" s="46" t="s">
        <v>136</v>
      </c>
      <c r="D95" s="142">
        <v>2.4900000000000002</v>
      </c>
      <c r="E95" s="13">
        <v>2.69</v>
      </c>
      <c r="F95" s="70">
        <v>2.79</v>
      </c>
      <c r="G95" s="14">
        <v>2.99</v>
      </c>
    </row>
    <row r="96" spans="1:7" ht="14" x14ac:dyDescent="0.15">
      <c r="A96" s="390"/>
      <c r="B96" s="47" t="s">
        <v>137</v>
      </c>
      <c r="C96" s="48" t="s">
        <v>138</v>
      </c>
      <c r="D96" s="143"/>
      <c r="E96" s="35"/>
      <c r="F96" s="70">
        <v>0.37</v>
      </c>
      <c r="G96" s="14"/>
    </row>
    <row r="97" spans="1:7" ht="13" x14ac:dyDescent="0.15">
      <c r="A97" s="390"/>
      <c r="B97" s="401" t="s">
        <v>139</v>
      </c>
      <c r="C97" s="42" t="s">
        <v>140</v>
      </c>
      <c r="D97" s="142">
        <v>1.39</v>
      </c>
      <c r="E97" s="13">
        <v>1.59</v>
      </c>
      <c r="F97" s="70">
        <v>1.59</v>
      </c>
      <c r="G97" s="14">
        <v>1.75</v>
      </c>
    </row>
    <row r="98" spans="1:7" ht="13" x14ac:dyDescent="0.15">
      <c r="A98" s="390"/>
      <c r="B98" s="366"/>
      <c r="C98" s="42" t="s">
        <v>135</v>
      </c>
      <c r="D98" s="142">
        <v>1.89</v>
      </c>
      <c r="E98" s="13">
        <v>2.25</v>
      </c>
      <c r="F98" s="70">
        <v>2.19</v>
      </c>
      <c r="G98" s="14">
        <v>2.4900000000000002</v>
      </c>
    </row>
    <row r="99" spans="1:7" ht="13" x14ac:dyDescent="0.15">
      <c r="A99" s="390"/>
      <c r="B99" s="365" t="s">
        <v>141</v>
      </c>
      <c r="C99" s="42" t="s">
        <v>140</v>
      </c>
      <c r="D99" s="142">
        <v>1.49</v>
      </c>
      <c r="E99" s="13">
        <v>1.69</v>
      </c>
      <c r="F99" s="70">
        <v>1.69</v>
      </c>
      <c r="G99" s="14">
        <v>1.75</v>
      </c>
    </row>
    <row r="100" spans="1:7" ht="13" x14ac:dyDescent="0.15">
      <c r="A100" s="390"/>
      <c r="B100" s="366"/>
      <c r="C100" s="42" t="s">
        <v>135</v>
      </c>
      <c r="D100" s="142">
        <v>1.99</v>
      </c>
      <c r="E100" s="13">
        <v>2.39</v>
      </c>
      <c r="F100" s="70">
        <v>2.29</v>
      </c>
      <c r="G100" s="14">
        <v>2.4900000000000002</v>
      </c>
    </row>
    <row r="101" spans="1:7" ht="13" x14ac:dyDescent="0.15">
      <c r="A101" s="390"/>
      <c r="B101" s="401" t="s">
        <v>142</v>
      </c>
      <c r="C101" s="46" t="s">
        <v>129</v>
      </c>
      <c r="D101" s="142">
        <v>3.69</v>
      </c>
      <c r="E101" s="13">
        <v>3.79</v>
      </c>
      <c r="F101" s="70">
        <v>4.1900000000000004</v>
      </c>
      <c r="G101" s="14">
        <v>4.59</v>
      </c>
    </row>
    <row r="102" spans="1:7" ht="13" x14ac:dyDescent="0.15">
      <c r="A102" s="390"/>
      <c r="B102" s="366"/>
      <c r="C102" s="46" t="s">
        <v>130</v>
      </c>
      <c r="D102" s="142">
        <v>4.49</v>
      </c>
      <c r="E102" s="13">
        <v>4.59</v>
      </c>
      <c r="F102" s="70">
        <v>5.19</v>
      </c>
      <c r="G102" s="14">
        <v>5.69</v>
      </c>
    </row>
    <row r="103" spans="1:7" ht="13" x14ac:dyDescent="0.15">
      <c r="A103" s="390"/>
      <c r="B103" s="425" t="s">
        <v>143</v>
      </c>
      <c r="C103" s="42" t="s">
        <v>131</v>
      </c>
      <c r="D103" s="142">
        <v>4.99</v>
      </c>
      <c r="E103" s="13">
        <v>4.99</v>
      </c>
      <c r="F103" s="70">
        <v>5.99</v>
      </c>
      <c r="G103" s="14">
        <v>6.59</v>
      </c>
    </row>
    <row r="104" spans="1:7" ht="13" x14ac:dyDescent="0.15">
      <c r="A104" s="390"/>
      <c r="B104" s="426"/>
      <c r="C104" s="42"/>
      <c r="D104" s="142">
        <v>2.99</v>
      </c>
      <c r="E104" s="13">
        <v>2.99</v>
      </c>
      <c r="F104" s="144">
        <v>3.49</v>
      </c>
      <c r="G104" s="14">
        <v>3.49</v>
      </c>
    </row>
    <row r="105" spans="1:7" ht="13" x14ac:dyDescent="0.15">
      <c r="A105" s="390"/>
      <c r="B105" s="365" t="s">
        <v>144</v>
      </c>
      <c r="C105" s="104" t="s">
        <v>145</v>
      </c>
      <c r="D105" s="145">
        <v>2.59</v>
      </c>
      <c r="E105" s="146">
        <v>2.59</v>
      </c>
      <c r="F105" s="70">
        <v>2.59</v>
      </c>
      <c r="G105" s="146">
        <v>2.59</v>
      </c>
    </row>
    <row r="106" spans="1:7" ht="13" x14ac:dyDescent="0.15">
      <c r="A106" s="390"/>
      <c r="B106" s="366"/>
      <c r="C106" s="104" t="s">
        <v>146</v>
      </c>
      <c r="D106" s="145">
        <v>3.49</v>
      </c>
      <c r="E106" s="146">
        <v>3.49</v>
      </c>
      <c r="F106" s="70">
        <v>3.49</v>
      </c>
      <c r="G106" s="146">
        <v>3.49</v>
      </c>
    </row>
    <row r="107" spans="1:7" ht="13" x14ac:dyDescent="0.15">
      <c r="A107" s="390"/>
      <c r="B107" s="365" t="s">
        <v>147</v>
      </c>
      <c r="C107" s="104" t="s">
        <v>130</v>
      </c>
      <c r="D107" s="145">
        <v>4.49</v>
      </c>
      <c r="E107" s="146">
        <v>4.49</v>
      </c>
      <c r="F107" s="142">
        <v>4.49</v>
      </c>
      <c r="G107" s="146">
        <v>4.49</v>
      </c>
    </row>
    <row r="108" spans="1:7" ht="13" x14ac:dyDescent="0.15">
      <c r="A108" s="390"/>
      <c r="B108" s="366"/>
      <c r="C108" s="104" t="s">
        <v>131</v>
      </c>
      <c r="D108" s="145">
        <v>5.29</v>
      </c>
      <c r="E108" s="146">
        <v>5.29</v>
      </c>
      <c r="F108" s="142">
        <v>5.29</v>
      </c>
      <c r="G108" s="146">
        <v>5.29</v>
      </c>
    </row>
    <row r="109" spans="1:7" ht="13" x14ac:dyDescent="0.15">
      <c r="A109" s="390"/>
      <c r="B109" s="42" t="s">
        <v>148</v>
      </c>
      <c r="C109" s="147" t="s">
        <v>149</v>
      </c>
      <c r="D109" s="145">
        <v>6.75</v>
      </c>
      <c r="E109" s="146">
        <v>6.75</v>
      </c>
      <c r="F109" s="133">
        <v>6.75</v>
      </c>
      <c r="G109" s="146">
        <v>6.75</v>
      </c>
    </row>
    <row r="110" spans="1:7" ht="13" x14ac:dyDescent="0.15">
      <c r="A110" s="390"/>
      <c r="B110" s="42" t="s">
        <v>150</v>
      </c>
      <c r="C110" s="147" t="s">
        <v>151</v>
      </c>
      <c r="D110" s="145">
        <v>6.75</v>
      </c>
      <c r="E110" s="146">
        <v>6.75</v>
      </c>
      <c r="F110" s="133">
        <v>6.75</v>
      </c>
      <c r="G110" s="146">
        <v>6.75</v>
      </c>
    </row>
    <row r="111" spans="1:7" ht="13" x14ac:dyDescent="0.15">
      <c r="A111" s="391"/>
      <c r="B111" s="42" t="s">
        <v>152</v>
      </c>
      <c r="C111" s="147" t="s">
        <v>149</v>
      </c>
      <c r="D111" s="145">
        <v>6.75</v>
      </c>
      <c r="E111" s="146">
        <v>6.75</v>
      </c>
      <c r="F111" s="133">
        <v>6.75</v>
      </c>
      <c r="G111" s="146">
        <v>6.75</v>
      </c>
    </row>
    <row r="112" spans="1:7" ht="14" x14ac:dyDescent="0.15">
      <c r="A112" s="424" t="s">
        <v>156</v>
      </c>
      <c r="B112" s="52" t="s">
        <v>157</v>
      </c>
      <c r="C112" s="25" t="s">
        <v>158</v>
      </c>
      <c r="D112" s="131">
        <v>8.99</v>
      </c>
      <c r="E112" s="13">
        <v>9.49</v>
      </c>
      <c r="F112" s="132">
        <v>10.29</v>
      </c>
      <c r="G112" s="14">
        <v>11.29</v>
      </c>
    </row>
    <row r="113" spans="1:7" ht="14" x14ac:dyDescent="0.15">
      <c r="A113" s="390"/>
      <c r="B113" s="16" t="s">
        <v>159</v>
      </c>
      <c r="C113" s="21" t="s">
        <v>158</v>
      </c>
      <c r="D113" s="133">
        <v>7.99</v>
      </c>
      <c r="E113" s="13">
        <v>8.49</v>
      </c>
      <c r="F113" s="13">
        <v>9.2899999999999991</v>
      </c>
      <c r="G113" s="14">
        <v>9.99</v>
      </c>
    </row>
    <row r="114" spans="1:7" ht="14" x14ac:dyDescent="0.15">
      <c r="A114" s="390"/>
      <c r="B114" s="16" t="s">
        <v>160</v>
      </c>
      <c r="C114" s="21" t="s">
        <v>161</v>
      </c>
      <c r="D114" s="133">
        <v>9.49</v>
      </c>
      <c r="E114" s="13">
        <v>10.49</v>
      </c>
      <c r="F114" s="13">
        <v>10.89</v>
      </c>
      <c r="G114" s="14">
        <v>11.99</v>
      </c>
    </row>
    <row r="115" spans="1:7" ht="14" x14ac:dyDescent="0.15">
      <c r="A115" s="390"/>
      <c r="B115" s="16" t="s">
        <v>162</v>
      </c>
      <c r="C115" s="21" t="s">
        <v>163</v>
      </c>
      <c r="D115" s="133">
        <v>7.49</v>
      </c>
      <c r="E115" s="13">
        <v>7.99</v>
      </c>
      <c r="F115" s="13">
        <v>8.49</v>
      </c>
      <c r="G115" s="14">
        <v>9.2899999999999991</v>
      </c>
    </row>
    <row r="116" spans="1:7" ht="13" x14ac:dyDescent="0.15">
      <c r="A116" s="390"/>
      <c r="B116" s="401" t="s">
        <v>164</v>
      </c>
      <c r="C116" s="21" t="s">
        <v>165</v>
      </c>
      <c r="D116" s="133">
        <v>9.99</v>
      </c>
      <c r="E116" s="13">
        <v>10.49</v>
      </c>
      <c r="F116" s="13">
        <v>11.49</v>
      </c>
      <c r="G116" s="14">
        <v>12.69</v>
      </c>
    </row>
    <row r="117" spans="1:7" ht="13" x14ac:dyDescent="0.15">
      <c r="A117" s="390"/>
      <c r="B117" s="368"/>
      <c r="C117" s="21" t="s">
        <v>166</v>
      </c>
      <c r="D117" s="133">
        <v>10.49</v>
      </c>
      <c r="E117" s="13">
        <v>10.99</v>
      </c>
      <c r="F117" s="13">
        <v>11.99</v>
      </c>
      <c r="G117" s="14">
        <v>13.29</v>
      </c>
    </row>
    <row r="118" spans="1:7" ht="13" x14ac:dyDescent="0.15">
      <c r="A118" s="390"/>
      <c r="B118" s="366"/>
      <c r="C118" s="21" t="s">
        <v>167</v>
      </c>
      <c r="D118" s="133">
        <v>10.49</v>
      </c>
      <c r="E118" s="13">
        <v>11.49</v>
      </c>
      <c r="F118" s="13">
        <v>11.99</v>
      </c>
      <c r="G118" s="14">
        <v>13.29</v>
      </c>
    </row>
    <row r="119" spans="1:7" ht="14" x14ac:dyDescent="0.15">
      <c r="A119" s="390"/>
      <c r="B119" s="53" t="s">
        <v>168</v>
      </c>
      <c r="C119" s="12" t="s">
        <v>169</v>
      </c>
      <c r="D119" s="133">
        <v>7.99</v>
      </c>
      <c r="E119" s="13">
        <v>8.49</v>
      </c>
      <c r="F119" s="13">
        <v>8.99</v>
      </c>
      <c r="G119" s="14">
        <v>9.7899999999999991</v>
      </c>
    </row>
    <row r="120" spans="1:7" ht="14" x14ac:dyDescent="0.15">
      <c r="A120" s="390"/>
      <c r="B120" s="53" t="s">
        <v>170</v>
      </c>
      <c r="C120" s="12" t="s">
        <v>171</v>
      </c>
      <c r="D120" s="133">
        <v>9.99</v>
      </c>
      <c r="E120" s="13">
        <v>10.49</v>
      </c>
      <c r="F120" s="13">
        <v>11.49</v>
      </c>
      <c r="G120" s="14">
        <v>12.59</v>
      </c>
    </row>
    <row r="121" spans="1:7" ht="14" x14ac:dyDescent="0.15">
      <c r="A121" s="390"/>
      <c r="B121" s="53" t="s">
        <v>172</v>
      </c>
      <c r="C121" s="12" t="s">
        <v>173</v>
      </c>
      <c r="D121" s="133">
        <v>8.99</v>
      </c>
      <c r="E121" s="13">
        <v>9.49</v>
      </c>
      <c r="F121" s="13">
        <v>9.99</v>
      </c>
      <c r="G121" s="14">
        <v>10.99</v>
      </c>
    </row>
    <row r="122" spans="1:7" ht="14" x14ac:dyDescent="0.15">
      <c r="A122" s="390"/>
      <c r="B122" s="16" t="s">
        <v>174</v>
      </c>
      <c r="C122" s="12" t="s">
        <v>175</v>
      </c>
      <c r="D122" s="133">
        <v>8.99</v>
      </c>
      <c r="E122" s="13">
        <v>8.99</v>
      </c>
      <c r="F122" s="13">
        <v>9.99</v>
      </c>
      <c r="G122" s="14">
        <v>10.99</v>
      </c>
    </row>
    <row r="123" spans="1:7" ht="14" x14ac:dyDescent="0.15">
      <c r="A123" s="390"/>
      <c r="B123" s="53" t="s">
        <v>178</v>
      </c>
      <c r="C123" s="21" t="s">
        <v>179</v>
      </c>
      <c r="D123" s="133">
        <v>8.99</v>
      </c>
      <c r="E123" s="13">
        <v>8.99</v>
      </c>
      <c r="F123" s="13">
        <v>10.49</v>
      </c>
      <c r="G123" s="14">
        <v>11.49</v>
      </c>
    </row>
    <row r="124" spans="1:7" ht="14" x14ac:dyDescent="0.15">
      <c r="A124" s="390"/>
      <c r="B124" s="53" t="s">
        <v>180</v>
      </c>
      <c r="C124" s="21" t="s">
        <v>727</v>
      </c>
      <c r="D124" s="133">
        <v>8.49</v>
      </c>
      <c r="E124" s="13">
        <v>8.99</v>
      </c>
      <c r="F124" s="13">
        <v>9.99</v>
      </c>
      <c r="G124" s="14">
        <v>10.99</v>
      </c>
    </row>
    <row r="125" spans="1:7" ht="14" x14ac:dyDescent="0.15">
      <c r="A125" s="390"/>
      <c r="B125" s="53" t="s">
        <v>182</v>
      </c>
      <c r="C125" s="21" t="s">
        <v>183</v>
      </c>
      <c r="D125" s="133">
        <v>6.99</v>
      </c>
      <c r="E125" s="13">
        <v>7.99</v>
      </c>
      <c r="F125" s="13">
        <v>6.99</v>
      </c>
      <c r="G125" s="14">
        <v>7.49</v>
      </c>
    </row>
    <row r="126" spans="1:7" ht="14" x14ac:dyDescent="0.15">
      <c r="A126" s="390"/>
      <c r="B126" s="16" t="s">
        <v>184</v>
      </c>
      <c r="C126" s="21" t="s">
        <v>728</v>
      </c>
      <c r="D126" s="133">
        <v>4.99</v>
      </c>
      <c r="E126" s="13">
        <v>4.99</v>
      </c>
      <c r="F126" s="13">
        <v>5.99</v>
      </c>
      <c r="G126" s="14">
        <v>6.49</v>
      </c>
    </row>
    <row r="127" spans="1:7" ht="14" x14ac:dyDescent="0.15">
      <c r="A127" s="390"/>
      <c r="B127" s="53" t="s">
        <v>186</v>
      </c>
      <c r="C127" s="12" t="s">
        <v>187</v>
      </c>
      <c r="D127" s="133">
        <v>4.99</v>
      </c>
      <c r="E127" s="13">
        <v>4.99</v>
      </c>
      <c r="F127" s="13">
        <v>5.99</v>
      </c>
      <c r="G127" s="14">
        <v>6.49</v>
      </c>
    </row>
    <row r="128" spans="1:7" ht="14" x14ac:dyDescent="0.15">
      <c r="A128" s="390"/>
      <c r="B128" s="53" t="s">
        <v>188</v>
      </c>
      <c r="C128" s="12" t="s">
        <v>729</v>
      </c>
      <c r="D128" s="133">
        <v>10.99</v>
      </c>
      <c r="E128" s="13">
        <v>10.99</v>
      </c>
      <c r="F128" s="13">
        <v>11.49</v>
      </c>
      <c r="G128" s="14">
        <v>12.49</v>
      </c>
    </row>
    <row r="129" spans="1:7" ht="14" x14ac:dyDescent="0.15">
      <c r="A129" s="390"/>
      <c r="B129" s="54" t="s">
        <v>190</v>
      </c>
      <c r="C129" s="55" t="s">
        <v>191</v>
      </c>
      <c r="D129" s="148">
        <v>8.99</v>
      </c>
      <c r="E129" s="35"/>
      <c r="F129" s="35">
        <v>9.99</v>
      </c>
      <c r="G129" s="36"/>
    </row>
    <row r="130" spans="1:7" ht="14" x14ac:dyDescent="0.15">
      <c r="A130" s="390"/>
      <c r="B130" s="53" t="s">
        <v>192</v>
      </c>
      <c r="C130" s="12" t="s">
        <v>193</v>
      </c>
      <c r="D130" s="133">
        <v>8.99</v>
      </c>
      <c r="E130" s="13">
        <v>9.99</v>
      </c>
      <c r="F130" s="13">
        <v>9.99</v>
      </c>
      <c r="G130" s="14">
        <v>10.99</v>
      </c>
    </row>
    <row r="131" spans="1:7" ht="14" x14ac:dyDescent="0.15">
      <c r="A131" s="390"/>
      <c r="B131" s="53" t="s">
        <v>194</v>
      </c>
      <c r="C131" s="12" t="s">
        <v>158</v>
      </c>
      <c r="D131" s="133">
        <v>6.49</v>
      </c>
      <c r="E131" s="13">
        <v>6.99</v>
      </c>
      <c r="F131" s="13">
        <v>7.49</v>
      </c>
      <c r="G131" s="14">
        <v>7.99</v>
      </c>
    </row>
    <row r="132" spans="1:7" ht="14" x14ac:dyDescent="0.15">
      <c r="A132" s="390"/>
      <c r="B132" s="56" t="s">
        <v>195</v>
      </c>
      <c r="C132" s="20" t="s">
        <v>196</v>
      </c>
      <c r="D132" s="135">
        <v>4.49</v>
      </c>
      <c r="E132" s="13">
        <v>4.99</v>
      </c>
      <c r="F132" s="86">
        <v>4.99</v>
      </c>
      <c r="G132" s="14">
        <v>5.49</v>
      </c>
    </row>
    <row r="133" spans="1:7" ht="14" x14ac:dyDescent="0.15">
      <c r="A133" s="390"/>
      <c r="B133" s="56" t="s">
        <v>197</v>
      </c>
      <c r="C133" s="20"/>
      <c r="D133" s="135"/>
      <c r="E133" s="13">
        <v>8.5</v>
      </c>
      <c r="F133" s="149">
        <v>9.59</v>
      </c>
      <c r="G133" s="14">
        <v>9.59</v>
      </c>
    </row>
    <row r="134" spans="1:7" ht="14" x14ac:dyDescent="0.15">
      <c r="A134" s="390"/>
      <c r="B134" s="57" t="s">
        <v>198</v>
      </c>
      <c r="C134" s="12"/>
      <c r="D134" s="133">
        <v>9.86</v>
      </c>
      <c r="E134" s="13">
        <v>10.79</v>
      </c>
      <c r="F134" s="13">
        <v>10.89</v>
      </c>
      <c r="G134" s="14">
        <v>11.99</v>
      </c>
    </row>
    <row r="135" spans="1:7" ht="14" x14ac:dyDescent="0.15">
      <c r="A135" s="390"/>
      <c r="B135" s="58" t="s">
        <v>199</v>
      </c>
      <c r="C135" s="59"/>
      <c r="D135" s="134">
        <v>13.99</v>
      </c>
      <c r="E135" s="13">
        <v>14.99</v>
      </c>
      <c r="F135" s="92">
        <v>14.99</v>
      </c>
      <c r="G135" s="14">
        <v>16.989999999999998</v>
      </c>
    </row>
    <row r="136" spans="1:7" ht="14" x14ac:dyDescent="0.15">
      <c r="A136" s="400" t="s">
        <v>200</v>
      </c>
      <c r="B136" s="41" t="s">
        <v>201</v>
      </c>
      <c r="C136" s="61" t="s">
        <v>202</v>
      </c>
      <c r="D136" s="140">
        <v>12.99</v>
      </c>
      <c r="E136" s="13">
        <v>13.99</v>
      </c>
      <c r="F136" s="141">
        <v>14.99</v>
      </c>
      <c r="G136" s="14">
        <v>15.99</v>
      </c>
    </row>
    <row r="137" spans="1:7" ht="14" x14ac:dyDescent="0.15">
      <c r="A137" s="390"/>
      <c r="B137" s="16" t="s">
        <v>203</v>
      </c>
      <c r="C137" s="46" t="s">
        <v>204</v>
      </c>
      <c r="D137" s="142">
        <v>10.99</v>
      </c>
      <c r="E137" s="13">
        <v>11.49</v>
      </c>
      <c r="F137" s="70">
        <v>12.49</v>
      </c>
      <c r="G137" s="14">
        <v>13.49</v>
      </c>
    </row>
    <row r="138" spans="1:7" ht="14" x14ac:dyDescent="0.15">
      <c r="A138" s="390"/>
      <c r="B138" s="43" t="s">
        <v>205</v>
      </c>
      <c r="C138" s="46" t="s">
        <v>206</v>
      </c>
      <c r="D138" s="142">
        <v>10.99</v>
      </c>
      <c r="E138" s="13">
        <v>11.49</v>
      </c>
      <c r="F138" s="70">
        <v>13.49</v>
      </c>
      <c r="G138" s="14">
        <v>14.49</v>
      </c>
    </row>
    <row r="139" spans="1:7" ht="14" x14ac:dyDescent="0.15">
      <c r="A139" s="390"/>
      <c r="B139" s="43" t="s">
        <v>207</v>
      </c>
      <c r="C139" s="42" t="s">
        <v>208</v>
      </c>
      <c r="D139" s="142">
        <v>10.99</v>
      </c>
      <c r="E139" s="13">
        <v>11.49</v>
      </c>
      <c r="F139" s="70">
        <v>13.49</v>
      </c>
      <c r="G139" s="14">
        <v>14.49</v>
      </c>
    </row>
    <row r="140" spans="1:7" ht="14" x14ac:dyDescent="0.15">
      <c r="A140" s="390"/>
      <c r="B140" s="43" t="s">
        <v>209</v>
      </c>
      <c r="C140" s="42" t="s">
        <v>730</v>
      </c>
      <c r="D140" s="142">
        <v>10.49</v>
      </c>
      <c r="E140" s="13">
        <v>10.99</v>
      </c>
      <c r="F140" s="70">
        <v>12.49</v>
      </c>
      <c r="G140" s="14">
        <v>13.49</v>
      </c>
    </row>
    <row r="141" spans="1:7" ht="14" x14ac:dyDescent="0.15">
      <c r="A141" s="390"/>
      <c r="B141" s="43" t="s">
        <v>211</v>
      </c>
      <c r="C141" s="46" t="s">
        <v>731</v>
      </c>
      <c r="D141" s="142">
        <v>10.49</v>
      </c>
      <c r="E141" s="13">
        <v>10.99</v>
      </c>
      <c r="F141" s="70">
        <v>12.49</v>
      </c>
      <c r="G141" s="14">
        <v>13.49</v>
      </c>
    </row>
    <row r="142" spans="1:7" ht="14" x14ac:dyDescent="0.15">
      <c r="A142" s="390"/>
      <c r="B142" s="43" t="s">
        <v>213</v>
      </c>
      <c r="C142" s="42" t="s">
        <v>214</v>
      </c>
      <c r="D142" s="142">
        <v>10.99</v>
      </c>
      <c r="E142" s="13">
        <v>11.49</v>
      </c>
      <c r="F142" s="70">
        <v>12.49</v>
      </c>
      <c r="G142" s="14">
        <v>13.49</v>
      </c>
    </row>
    <row r="143" spans="1:7" ht="14" x14ac:dyDescent="0.15">
      <c r="A143" s="390"/>
      <c r="B143" s="43" t="s">
        <v>215</v>
      </c>
      <c r="C143" s="42" t="s">
        <v>732</v>
      </c>
      <c r="D143" s="142">
        <v>10.99</v>
      </c>
      <c r="E143" s="13">
        <v>10.99</v>
      </c>
      <c r="F143" s="70">
        <v>12.49</v>
      </c>
      <c r="G143" s="14">
        <v>13.49</v>
      </c>
    </row>
    <row r="144" spans="1:7" ht="14" x14ac:dyDescent="0.15">
      <c r="A144" s="390"/>
      <c r="B144" s="43" t="s">
        <v>217</v>
      </c>
      <c r="C144" s="46" t="s">
        <v>733</v>
      </c>
      <c r="D144" s="142">
        <v>10.49</v>
      </c>
      <c r="E144" s="13">
        <v>10.99</v>
      </c>
      <c r="F144" s="70">
        <v>12.49</v>
      </c>
      <c r="G144" s="14">
        <v>13.49</v>
      </c>
    </row>
    <row r="145" spans="1:7" ht="42" x14ac:dyDescent="0.15">
      <c r="A145" s="390"/>
      <c r="B145" s="47" t="s">
        <v>219</v>
      </c>
      <c r="C145" s="150" t="s">
        <v>734</v>
      </c>
      <c r="D145" s="143">
        <v>10.99</v>
      </c>
      <c r="E145" s="35"/>
      <c r="F145" s="151">
        <v>12.49</v>
      </c>
      <c r="G145" s="36"/>
    </row>
    <row r="146" spans="1:7" ht="14" x14ac:dyDescent="0.15">
      <c r="A146" s="390"/>
      <c r="B146" s="49" t="s">
        <v>223</v>
      </c>
      <c r="C146" s="60" t="s">
        <v>735</v>
      </c>
      <c r="D146" s="152">
        <v>8.99</v>
      </c>
      <c r="E146" s="13">
        <v>8.99</v>
      </c>
      <c r="F146" s="32">
        <v>10.29</v>
      </c>
      <c r="G146" s="14">
        <v>11.29</v>
      </c>
    </row>
    <row r="147" spans="1:7" ht="13" x14ac:dyDescent="0.15">
      <c r="A147" s="393" t="s">
        <v>253</v>
      </c>
      <c r="B147" s="399" t="s">
        <v>254</v>
      </c>
      <c r="C147" s="61" t="s">
        <v>255</v>
      </c>
      <c r="D147" s="140">
        <v>3.25</v>
      </c>
      <c r="E147" s="13">
        <v>3.59</v>
      </c>
      <c r="F147" s="141">
        <v>3.69</v>
      </c>
      <c r="G147" s="14">
        <v>3.99</v>
      </c>
    </row>
    <row r="148" spans="1:7" ht="13" x14ac:dyDescent="0.15">
      <c r="A148" s="390"/>
      <c r="B148" s="368"/>
      <c r="C148" s="42" t="s">
        <v>256</v>
      </c>
      <c r="D148" s="142">
        <v>3.25</v>
      </c>
      <c r="E148" s="13">
        <v>3.59</v>
      </c>
      <c r="F148" s="70">
        <v>3.69</v>
      </c>
      <c r="G148" s="14">
        <v>3.99</v>
      </c>
    </row>
    <row r="149" spans="1:7" ht="13" x14ac:dyDescent="0.15">
      <c r="A149" s="390"/>
      <c r="B149" s="368"/>
      <c r="C149" s="42" t="s">
        <v>257</v>
      </c>
      <c r="D149" s="142">
        <v>3.25</v>
      </c>
      <c r="E149" s="13">
        <v>3.59</v>
      </c>
      <c r="F149" s="70">
        <v>3.69</v>
      </c>
      <c r="G149" s="14">
        <v>3.99</v>
      </c>
    </row>
    <row r="150" spans="1:7" ht="13" x14ac:dyDescent="0.15">
      <c r="A150" s="390"/>
      <c r="B150" s="368"/>
      <c r="C150" s="42" t="s">
        <v>11</v>
      </c>
      <c r="D150" s="142">
        <v>3.25</v>
      </c>
      <c r="E150" s="13">
        <v>3.59</v>
      </c>
      <c r="F150" s="70">
        <v>3.69</v>
      </c>
      <c r="G150" s="14">
        <v>3.99</v>
      </c>
    </row>
    <row r="151" spans="1:7" ht="13" x14ac:dyDescent="0.15">
      <c r="A151" s="390"/>
      <c r="B151" s="368"/>
      <c r="C151" s="42" t="s">
        <v>258</v>
      </c>
      <c r="D151" s="142">
        <v>3.25</v>
      </c>
      <c r="E151" s="13">
        <v>3.59</v>
      </c>
      <c r="F151" s="70">
        <v>3.69</v>
      </c>
      <c r="G151" s="14">
        <v>3.99</v>
      </c>
    </row>
    <row r="152" spans="1:7" ht="13" x14ac:dyDescent="0.15">
      <c r="A152" s="390"/>
      <c r="B152" s="368"/>
      <c r="C152" s="42" t="s">
        <v>259</v>
      </c>
      <c r="D152" s="142">
        <v>3.25</v>
      </c>
      <c r="E152" s="13">
        <v>3.59</v>
      </c>
      <c r="F152" s="70">
        <v>3.69</v>
      </c>
      <c r="G152" s="14">
        <v>3.99</v>
      </c>
    </row>
    <row r="153" spans="1:7" ht="13" x14ac:dyDescent="0.15">
      <c r="A153" s="390"/>
      <c r="B153" s="368"/>
      <c r="C153" s="42" t="s">
        <v>736</v>
      </c>
      <c r="D153" s="142">
        <v>3.25</v>
      </c>
      <c r="E153" s="13">
        <v>3.59</v>
      </c>
      <c r="F153" s="70">
        <v>3.69</v>
      </c>
      <c r="G153" s="14">
        <v>3.99</v>
      </c>
    </row>
    <row r="154" spans="1:7" ht="13" x14ac:dyDescent="0.15">
      <c r="A154" s="390"/>
      <c r="B154" s="368"/>
      <c r="C154" s="42" t="s">
        <v>261</v>
      </c>
      <c r="D154" s="142">
        <v>3.25</v>
      </c>
      <c r="E154" s="13">
        <v>3.59</v>
      </c>
      <c r="F154" s="70">
        <v>3.69</v>
      </c>
      <c r="G154" s="14">
        <v>3.99</v>
      </c>
    </row>
    <row r="155" spans="1:7" ht="13" x14ac:dyDescent="0.15">
      <c r="A155" s="390"/>
      <c r="B155" s="368"/>
      <c r="C155" s="42" t="s">
        <v>262</v>
      </c>
      <c r="D155" s="142">
        <v>3.25</v>
      </c>
      <c r="E155" s="13">
        <v>3.59</v>
      </c>
      <c r="F155" s="70">
        <v>3.69</v>
      </c>
      <c r="G155" s="14">
        <v>3.99</v>
      </c>
    </row>
    <row r="156" spans="1:7" ht="13" x14ac:dyDescent="0.15">
      <c r="A156" s="390"/>
      <c r="B156" s="368"/>
      <c r="C156" s="42" t="s">
        <v>263</v>
      </c>
      <c r="D156" s="142">
        <v>3.25</v>
      </c>
      <c r="E156" s="13">
        <v>3.59</v>
      </c>
      <c r="F156" s="70">
        <v>3.69</v>
      </c>
      <c r="G156" s="14">
        <v>3.99</v>
      </c>
    </row>
    <row r="157" spans="1:7" ht="13" x14ac:dyDescent="0.15">
      <c r="A157" s="390"/>
      <c r="B157" s="366"/>
      <c r="C157" s="42" t="s">
        <v>267</v>
      </c>
      <c r="D157" s="142">
        <v>3.25</v>
      </c>
      <c r="E157" s="13">
        <v>3.59</v>
      </c>
      <c r="F157" s="70">
        <v>3.69</v>
      </c>
      <c r="G157" s="14">
        <v>3.99</v>
      </c>
    </row>
    <row r="158" spans="1:7" ht="13" x14ac:dyDescent="0.15">
      <c r="A158" s="390"/>
      <c r="B158" s="365" t="s">
        <v>269</v>
      </c>
      <c r="C158" s="42" t="s">
        <v>270</v>
      </c>
      <c r="D158" s="142">
        <v>3.99</v>
      </c>
      <c r="E158" s="13">
        <v>4.29</v>
      </c>
      <c r="F158" s="70">
        <v>4.49</v>
      </c>
      <c r="G158" s="14">
        <v>4.8899999999999997</v>
      </c>
    </row>
    <row r="159" spans="1:7" ht="13" x14ac:dyDescent="0.15">
      <c r="A159" s="390"/>
      <c r="B159" s="368"/>
      <c r="C159" s="42" t="s">
        <v>271</v>
      </c>
      <c r="D159" s="142">
        <v>3.99</v>
      </c>
      <c r="E159" s="13">
        <v>4.29</v>
      </c>
      <c r="F159" s="70">
        <v>4.49</v>
      </c>
      <c r="G159" s="14">
        <v>4.8899999999999997</v>
      </c>
    </row>
    <row r="160" spans="1:7" ht="13" x14ac:dyDescent="0.15">
      <c r="A160" s="390"/>
      <c r="B160" s="368"/>
      <c r="C160" s="42" t="s">
        <v>272</v>
      </c>
      <c r="D160" s="142">
        <v>3.99</v>
      </c>
      <c r="E160" s="13">
        <v>4.29</v>
      </c>
      <c r="F160" s="70">
        <v>4.49</v>
      </c>
      <c r="G160" s="14">
        <v>4.8899999999999997</v>
      </c>
    </row>
    <row r="161" spans="1:7" ht="13" x14ac:dyDescent="0.15">
      <c r="A161" s="390"/>
      <c r="B161" s="366"/>
      <c r="C161" s="42" t="s">
        <v>273</v>
      </c>
      <c r="D161" s="142">
        <v>3.99</v>
      </c>
      <c r="E161" s="13">
        <v>4.29</v>
      </c>
      <c r="F161" s="70">
        <v>4.49</v>
      </c>
      <c r="G161" s="14">
        <v>4.8899999999999997</v>
      </c>
    </row>
    <row r="162" spans="1:7" ht="13" x14ac:dyDescent="0.15">
      <c r="A162" s="390"/>
      <c r="B162" s="365" t="s">
        <v>275</v>
      </c>
      <c r="C162" s="42" t="s">
        <v>276</v>
      </c>
      <c r="D162" s="142">
        <v>3.99</v>
      </c>
      <c r="E162" s="13">
        <v>4.29</v>
      </c>
      <c r="F162" s="70">
        <v>4.49</v>
      </c>
      <c r="G162" s="14">
        <v>4.8899999999999997</v>
      </c>
    </row>
    <row r="163" spans="1:7" ht="14.25" customHeight="1" x14ac:dyDescent="0.15">
      <c r="A163" s="390"/>
      <c r="B163" s="368"/>
      <c r="C163" s="46" t="s">
        <v>277</v>
      </c>
      <c r="D163" s="142">
        <v>3.99</v>
      </c>
      <c r="E163" s="13">
        <v>4.29</v>
      </c>
      <c r="F163" s="70">
        <v>4.49</v>
      </c>
      <c r="G163" s="14">
        <v>4.8899999999999997</v>
      </c>
    </row>
    <row r="164" spans="1:7" ht="13" x14ac:dyDescent="0.15">
      <c r="A164" s="390"/>
      <c r="B164" s="366"/>
      <c r="C164" s="42" t="s">
        <v>278</v>
      </c>
      <c r="D164" s="142">
        <v>3.99</v>
      </c>
      <c r="E164" s="13">
        <v>4.29</v>
      </c>
      <c r="F164" s="70">
        <v>4.49</v>
      </c>
      <c r="G164" s="14">
        <v>4.8899999999999997</v>
      </c>
    </row>
    <row r="165" spans="1:7" ht="13" x14ac:dyDescent="0.15">
      <c r="A165" s="390"/>
      <c r="B165" s="365" t="s">
        <v>280</v>
      </c>
      <c r="C165" s="42" t="s">
        <v>281</v>
      </c>
      <c r="D165" s="142">
        <v>3.25</v>
      </c>
      <c r="E165" s="13">
        <v>3.59</v>
      </c>
      <c r="F165" s="70">
        <v>3.69</v>
      </c>
      <c r="G165" s="14">
        <v>3.99</v>
      </c>
    </row>
    <row r="166" spans="1:7" ht="13" x14ac:dyDescent="0.15">
      <c r="A166" s="390"/>
      <c r="B166" s="368"/>
      <c r="C166" s="42" t="s">
        <v>282</v>
      </c>
      <c r="D166" s="142">
        <v>3.25</v>
      </c>
      <c r="E166" s="13">
        <v>3.59</v>
      </c>
      <c r="F166" s="70">
        <v>3.69</v>
      </c>
      <c r="G166" s="14">
        <v>3.99</v>
      </c>
    </row>
    <row r="167" spans="1:7" ht="13" x14ac:dyDescent="0.15">
      <c r="A167" s="390"/>
      <c r="B167" s="368"/>
      <c r="C167" s="42" t="s">
        <v>262</v>
      </c>
      <c r="D167" s="142">
        <v>3.25</v>
      </c>
      <c r="E167" s="13">
        <v>3.59</v>
      </c>
      <c r="F167" s="70">
        <v>3.69</v>
      </c>
      <c r="G167" s="14">
        <v>3.99</v>
      </c>
    </row>
    <row r="168" spans="1:7" ht="13" x14ac:dyDescent="0.15">
      <c r="A168" s="390"/>
      <c r="B168" s="368"/>
      <c r="C168" s="42" t="s">
        <v>283</v>
      </c>
      <c r="D168" s="142">
        <v>3.25</v>
      </c>
      <c r="E168" s="13">
        <v>3.59</v>
      </c>
      <c r="F168" s="70">
        <v>3.69</v>
      </c>
      <c r="G168" s="14">
        <v>3.99</v>
      </c>
    </row>
    <row r="169" spans="1:7" ht="13" x14ac:dyDescent="0.15">
      <c r="A169" s="390"/>
      <c r="B169" s="366"/>
      <c r="C169" s="39" t="s">
        <v>284</v>
      </c>
      <c r="D169" s="153"/>
      <c r="E169" s="13">
        <v>3.25</v>
      </c>
      <c r="F169" s="154">
        <v>3.69</v>
      </c>
      <c r="G169" s="14">
        <v>3.49</v>
      </c>
    </row>
    <row r="170" spans="1:7" ht="13" x14ac:dyDescent="0.15">
      <c r="A170" s="390"/>
      <c r="B170" s="365" t="s">
        <v>285</v>
      </c>
      <c r="C170" s="46" t="s">
        <v>281</v>
      </c>
      <c r="D170" s="142">
        <v>2.99</v>
      </c>
      <c r="E170" s="13">
        <v>3.29</v>
      </c>
      <c r="F170" s="70">
        <v>3.49</v>
      </c>
      <c r="G170" s="14">
        <v>3.79</v>
      </c>
    </row>
    <row r="171" spans="1:7" ht="13" x14ac:dyDescent="0.15">
      <c r="A171" s="390"/>
      <c r="B171" s="368"/>
      <c r="C171" s="42" t="s">
        <v>282</v>
      </c>
      <c r="D171" s="142">
        <v>2.99</v>
      </c>
      <c r="E171" s="13">
        <v>3.29</v>
      </c>
      <c r="F171" s="70">
        <v>3.49</v>
      </c>
      <c r="G171" s="14">
        <v>3.79</v>
      </c>
    </row>
    <row r="172" spans="1:7" ht="13" x14ac:dyDescent="0.15">
      <c r="A172" s="390"/>
      <c r="B172" s="368"/>
      <c r="C172" s="42" t="s">
        <v>262</v>
      </c>
      <c r="D172" s="142">
        <v>2.99</v>
      </c>
      <c r="E172" s="13">
        <v>3.29</v>
      </c>
      <c r="F172" s="70">
        <v>3.49</v>
      </c>
      <c r="G172" s="14">
        <v>3.79</v>
      </c>
    </row>
    <row r="173" spans="1:7" ht="13" x14ac:dyDescent="0.15">
      <c r="A173" s="390"/>
      <c r="B173" s="366"/>
      <c r="C173" s="39" t="s">
        <v>286</v>
      </c>
      <c r="D173" s="153"/>
      <c r="E173" s="13">
        <v>3.29</v>
      </c>
      <c r="F173" s="154">
        <v>3.49</v>
      </c>
      <c r="G173" s="14">
        <v>3.79</v>
      </c>
    </row>
    <row r="174" spans="1:7" ht="13" x14ac:dyDescent="0.15">
      <c r="A174" s="390"/>
      <c r="B174" s="365" t="s">
        <v>287</v>
      </c>
      <c r="C174" s="42" t="s">
        <v>737</v>
      </c>
      <c r="D174" s="142">
        <v>3.49</v>
      </c>
      <c r="E174" s="13">
        <v>3.79</v>
      </c>
      <c r="F174" s="70">
        <v>3.99</v>
      </c>
      <c r="G174" s="14">
        <v>4.29</v>
      </c>
    </row>
    <row r="175" spans="1:7" ht="13" x14ac:dyDescent="0.15">
      <c r="A175" s="390"/>
      <c r="B175" s="368"/>
      <c r="C175" s="42" t="s">
        <v>289</v>
      </c>
      <c r="D175" s="142">
        <v>3.49</v>
      </c>
      <c r="E175" s="13">
        <v>3.79</v>
      </c>
      <c r="F175" s="70">
        <v>3.99</v>
      </c>
      <c r="G175" s="14">
        <v>4.29</v>
      </c>
    </row>
    <row r="176" spans="1:7" ht="13" x14ac:dyDescent="0.15">
      <c r="A176" s="390"/>
      <c r="B176" s="368"/>
      <c r="C176" s="66" t="s">
        <v>290</v>
      </c>
      <c r="D176" s="142">
        <v>3.79</v>
      </c>
      <c r="E176" s="17">
        <v>3.99</v>
      </c>
      <c r="F176" s="70">
        <v>3.99</v>
      </c>
      <c r="G176" s="18">
        <v>4.29</v>
      </c>
    </row>
    <row r="177" spans="1:7" ht="17.25" customHeight="1" x14ac:dyDescent="0.15">
      <c r="A177" s="390"/>
      <c r="B177" s="368"/>
      <c r="C177" s="46" t="s">
        <v>291</v>
      </c>
      <c r="D177" s="142">
        <v>3.49</v>
      </c>
      <c r="E177" s="13">
        <v>3.79</v>
      </c>
      <c r="F177" s="70">
        <v>3.99</v>
      </c>
      <c r="G177" s="14">
        <v>4.29</v>
      </c>
    </row>
    <row r="178" spans="1:7" ht="17.25" customHeight="1" x14ac:dyDescent="0.15">
      <c r="A178" s="390"/>
      <c r="B178" s="368"/>
      <c r="C178" s="46" t="s">
        <v>292</v>
      </c>
      <c r="D178" s="142">
        <v>3.49</v>
      </c>
      <c r="E178" s="13">
        <v>3.79</v>
      </c>
      <c r="F178" s="70">
        <v>3.99</v>
      </c>
      <c r="G178" s="14">
        <v>4.29</v>
      </c>
    </row>
    <row r="179" spans="1:7" ht="13" x14ac:dyDescent="0.15">
      <c r="A179" s="390"/>
      <c r="B179" s="368"/>
      <c r="C179" s="42" t="s">
        <v>293</v>
      </c>
      <c r="D179" s="142">
        <v>3.99</v>
      </c>
      <c r="E179" s="13">
        <v>4.3899999999999997</v>
      </c>
      <c r="F179" s="70">
        <v>3.99</v>
      </c>
      <c r="G179" s="14">
        <v>4.79</v>
      </c>
    </row>
    <row r="180" spans="1:7" ht="13" x14ac:dyDescent="0.15">
      <c r="A180" s="390"/>
      <c r="B180" s="368"/>
      <c r="C180" s="46" t="s">
        <v>294</v>
      </c>
      <c r="D180" s="142">
        <v>3.49</v>
      </c>
      <c r="E180" s="13">
        <v>3.79</v>
      </c>
      <c r="F180" s="70">
        <v>3.99</v>
      </c>
      <c r="G180" s="14">
        <v>4.29</v>
      </c>
    </row>
    <row r="181" spans="1:7" ht="18" customHeight="1" x14ac:dyDescent="0.15">
      <c r="A181" s="390"/>
      <c r="B181" s="366"/>
      <c r="C181" s="46" t="s">
        <v>295</v>
      </c>
      <c r="D181" s="142">
        <v>3.49</v>
      </c>
      <c r="E181" s="13">
        <v>3.79</v>
      </c>
      <c r="F181" s="70">
        <v>3.99</v>
      </c>
      <c r="G181" s="14">
        <v>4.29</v>
      </c>
    </row>
    <row r="182" spans="1:7" ht="13" x14ac:dyDescent="0.15">
      <c r="A182" s="390"/>
      <c r="B182" s="365" t="s">
        <v>296</v>
      </c>
      <c r="C182" s="42" t="s">
        <v>297</v>
      </c>
      <c r="D182" s="142">
        <v>1.99</v>
      </c>
      <c r="E182" s="13">
        <v>2.25</v>
      </c>
      <c r="F182" s="70">
        <v>2.29</v>
      </c>
      <c r="G182" s="14">
        <v>2.4900000000000002</v>
      </c>
    </row>
    <row r="183" spans="1:7" ht="13" x14ac:dyDescent="0.15">
      <c r="A183" s="390"/>
      <c r="B183" s="368"/>
      <c r="C183" s="42" t="s">
        <v>298</v>
      </c>
      <c r="D183" s="142">
        <v>3.29</v>
      </c>
      <c r="E183" s="17">
        <v>3.59</v>
      </c>
      <c r="F183" s="70">
        <v>3.49</v>
      </c>
      <c r="G183" s="18">
        <v>3.79</v>
      </c>
    </row>
    <row r="184" spans="1:7" ht="13" x14ac:dyDescent="0.15">
      <c r="A184" s="390"/>
      <c r="B184" s="368"/>
      <c r="C184" s="42" t="s">
        <v>299</v>
      </c>
      <c r="D184" s="142">
        <v>3.25</v>
      </c>
      <c r="E184" s="13">
        <v>3.49</v>
      </c>
      <c r="F184" s="70">
        <v>3.69</v>
      </c>
      <c r="G184" s="14">
        <v>3.99</v>
      </c>
    </row>
    <row r="185" spans="1:7" ht="13" x14ac:dyDescent="0.15">
      <c r="A185" s="390"/>
      <c r="B185" s="368"/>
      <c r="C185" s="42" t="s">
        <v>300</v>
      </c>
      <c r="D185" s="142">
        <v>2.4900000000000002</v>
      </c>
      <c r="E185" s="13">
        <v>2.99</v>
      </c>
      <c r="F185" s="70">
        <v>3.69</v>
      </c>
      <c r="G185" s="14">
        <v>3.99</v>
      </c>
    </row>
    <row r="186" spans="1:7" ht="13" x14ac:dyDescent="0.15">
      <c r="A186" s="390"/>
      <c r="B186" s="368"/>
      <c r="C186" s="42" t="s">
        <v>261</v>
      </c>
      <c r="D186" s="142">
        <v>1.99</v>
      </c>
      <c r="E186" s="13">
        <v>2.25</v>
      </c>
      <c r="F186" s="70">
        <v>2.5</v>
      </c>
      <c r="G186" s="14">
        <v>2.75</v>
      </c>
    </row>
    <row r="187" spans="1:7" ht="13" x14ac:dyDescent="0.15">
      <c r="A187" s="390"/>
      <c r="B187" s="368"/>
      <c r="C187" s="48" t="s">
        <v>301</v>
      </c>
      <c r="D187" s="143">
        <v>2.4900000000000002</v>
      </c>
      <c r="E187" s="67"/>
      <c r="F187" s="151">
        <v>2.89</v>
      </c>
      <c r="G187" s="68"/>
    </row>
    <row r="188" spans="1:7" ht="13" x14ac:dyDescent="0.15">
      <c r="A188" s="390"/>
      <c r="B188" s="366"/>
      <c r="C188" s="42" t="s">
        <v>302</v>
      </c>
      <c r="D188" s="142">
        <v>3.79</v>
      </c>
      <c r="E188" s="13">
        <v>4.29</v>
      </c>
      <c r="F188" s="70">
        <v>4.29</v>
      </c>
      <c r="G188" s="14">
        <v>4.6900000000000004</v>
      </c>
    </row>
    <row r="189" spans="1:7" ht="13" x14ac:dyDescent="0.15">
      <c r="A189" s="390"/>
      <c r="B189" s="365" t="s">
        <v>303</v>
      </c>
      <c r="C189" s="42" t="s">
        <v>304</v>
      </c>
      <c r="D189" s="142">
        <v>2.79</v>
      </c>
      <c r="E189" s="13">
        <v>2.99</v>
      </c>
      <c r="F189" s="70">
        <v>3.29</v>
      </c>
      <c r="G189" s="14">
        <v>3.49</v>
      </c>
    </row>
    <row r="190" spans="1:7" ht="13" x14ac:dyDescent="0.15">
      <c r="A190" s="390"/>
      <c r="B190" s="366"/>
      <c r="C190" s="42" t="s">
        <v>305</v>
      </c>
      <c r="D190" s="142">
        <v>2.79</v>
      </c>
      <c r="E190" s="13">
        <v>2.99</v>
      </c>
      <c r="F190" s="70">
        <v>3.29</v>
      </c>
      <c r="G190" s="14">
        <v>3.49</v>
      </c>
    </row>
    <row r="191" spans="1:7" ht="13" x14ac:dyDescent="0.15">
      <c r="A191" s="390"/>
      <c r="B191" s="365" t="s">
        <v>309</v>
      </c>
      <c r="C191" s="42" t="s">
        <v>310</v>
      </c>
      <c r="D191" s="142">
        <v>2.99</v>
      </c>
      <c r="E191" s="13">
        <v>3.25</v>
      </c>
      <c r="F191" s="70">
        <v>3.49</v>
      </c>
      <c r="G191" s="14">
        <v>3.79</v>
      </c>
    </row>
    <row r="192" spans="1:7" ht="13" x14ac:dyDescent="0.15">
      <c r="A192" s="390"/>
      <c r="B192" s="368"/>
      <c r="C192" s="42" t="s">
        <v>281</v>
      </c>
      <c r="D192" s="142">
        <v>2.99</v>
      </c>
      <c r="E192" s="13">
        <v>3.25</v>
      </c>
      <c r="F192" s="70">
        <v>3.49</v>
      </c>
      <c r="G192" s="14">
        <v>3.79</v>
      </c>
    </row>
    <row r="193" spans="1:7" ht="13" x14ac:dyDescent="0.15">
      <c r="A193" s="390"/>
      <c r="B193" s="366"/>
      <c r="C193" s="42" t="s">
        <v>256</v>
      </c>
      <c r="D193" s="142">
        <v>2.99</v>
      </c>
      <c r="E193" s="13">
        <v>3.25</v>
      </c>
      <c r="F193" s="70">
        <v>3.49</v>
      </c>
      <c r="G193" s="14">
        <v>3.79</v>
      </c>
    </row>
    <row r="194" spans="1:7" ht="13" x14ac:dyDescent="0.15">
      <c r="A194" s="390"/>
      <c r="B194" s="365" t="s">
        <v>311</v>
      </c>
      <c r="C194" s="42" t="s">
        <v>310</v>
      </c>
      <c r="D194" s="142">
        <v>2.25</v>
      </c>
      <c r="E194" s="13">
        <v>2.39</v>
      </c>
      <c r="F194" s="70">
        <v>2.4900000000000002</v>
      </c>
      <c r="G194" s="14">
        <v>2.69</v>
      </c>
    </row>
    <row r="195" spans="1:7" ht="13" x14ac:dyDescent="0.15">
      <c r="A195" s="390"/>
      <c r="B195" s="366"/>
      <c r="C195" s="42" t="s">
        <v>281</v>
      </c>
      <c r="D195" s="142">
        <v>2.25</v>
      </c>
      <c r="E195" s="13">
        <v>2.39</v>
      </c>
      <c r="F195" s="70">
        <v>2.4900000000000002</v>
      </c>
      <c r="G195" s="14">
        <v>2.69</v>
      </c>
    </row>
    <row r="196" spans="1:7" ht="13" x14ac:dyDescent="0.15">
      <c r="A196" s="390"/>
      <c r="B196" s="365" t="s">
        <v>313</v>
      </c>
      <c r="C196" s="42" t="s">
        <v>281</v>
      </c>
      <c r="D196" s="142">
        <v>4.6900000000000004</v>
      </c>
      <c r="E196" s="17">
        <v>4.99</v>
      </c>
      <c r="F196" s="70">
        <v>5.49</v>
      </c>
      <c r="G196" s="18">
        <v>5.79</v>
      </c>
    </row>
    <row r="197" spans="1:7" ht="13" x14ac:dyDescent="0.15">
      <c r="A197" s="390"/>
      <c r="B197" s="368"/>
      <c r="C197" s="42" t="s">
        <v>314</v>
      </c>
      <c r="D197" s="142">
        <v>4.6900000000000004</v>
      </c>
      <c r="E197" s="17">
        <v>4.99</v>
      </c>
      <c r="F197" s="70">
        <v>5.49</v>
      </c>
      <c r="G197" s="18">
        <v>5.79</v>
      </c>
    </row>
    <row r="198" spans="1:7" ht="13" x14ac:dyDescent="0.15">
      <c r="A198" s="390"/>
      <c r="B198" s="368"/>
      <c r="C198" s="42" t="s">
        <v>315</v>
      </c>
      <c r="D198" s="142">
        <v>4.6900000000000004</v>
      </c>
      <c r="E198" s="17">
        <v>4.99</v>
      </c>
      <c r="F198" s="70">
        <v>5.49</v>
      </c>
      <c r="G198" s="18">
        <v>5.79</v>
      </c>
    </row>
    <row r="199" spans="1:7" ht="13" x14ac:dyDescent="0.15">
      <c r="A199" s="390"/>
      <c r="B199" s="368"/>
      <c r="C199" s="42" t="s">
        <v>316</v>
      </c>
      <c r="D199" s="142">
        <v>4.6900000000000004</v>
      </c>
      <c r="E199" s="17">
        <v>4.99</v>
      </c>
      <c r="F199" s="70">
        <v>5.49</v>
      </c>
      <c r="G199" s="18">
        <v>5.79</v>
      </c>
    </row>
    <row r="200" spans="1:7" ht="13" x14ac:dyDescent="0.15">
      <c r="A200" s="390"/>
      <c r="B200" s="368"/>
      <c r="C200" s="42" t="s">
        <v>317</v>
      </c>
      <c r="D200" s="142">
        <v>4.6900000000000004</v>
      </c>
      <c r="E200" s="17">
        <v>4.99</v>
      </c>
      <c r="F200" s="70">
        <v>5.49</v>
      </c>
      <c r="G200" s="18">
        <v>5.79</v>
      </c>
    </row>
    <row r="201" spans="1:7" ht="13" x14ac:dyDescent="0.15">
      <c r="A201" s="390"/>
      <c r="B201" s="368"/>
      <c r="C201" s="42" t="s">
        <v>318</v>
      </c>
      <c r="D201" s="142">
        <v>4.6900000000000004</v>
      </c>
      <c r="E201" s="17">
        <v>4.99</v>
      </c>
      <c r="F201" s="70">
        <v>5.49</v>
      </c>
      <c r="G201" s="18">
        <v>5.79</v>
      </c>
    </row>
    <row r="202" spans="1:7" ht="13" x14ac:dyDescent="0.15">
      <c r="A202" s="390"/>
      <c r="B202" s="366"/>
      <c r="C202" s="42" t="s">
        <v>319</v>
      </c>
      <c r="D202" s="142">
        <v>4.6900000000000004</v>
      </c>
      <c r="E202" s="17">
        <v>4.99</v>
      </c>
      <c r="F202" s="70">
        <v>5.49</v>
      </c>
      <c r="G202" s="18">
        <v>5.79</v>
      </c>
    </row>
    <row r="203" spans="1:7" ht="13" x14ac:dyDescent="0.15">
      <c r="A203" s="390"/>
      <c r="B203" s="365" t="s">
        <v>326</v>
      </c>
      <c r="C203" s="46" t="s">
        <v>327</v>
      </c>
      <c r="D203" s="142">
        <v>3.99</v>
      </c>
      <c r="E203" s="13">
        <v>4.25</v>
      </c>
      <c r="F203" s="70">
        <v>4.59</v>
      </c>
      <c r="G203" s="14">
        <v>4.79</v>
      </c>
    </row>
    <row r="204" spans="1:7" ht="13" x14ac:dyDescent="0.15">
      <c r="A204" s="390"/>
      <c r="B204" s="366"/>
      <c r="C204" s="69" t="s">
        <v>328</v>
      </c>
      <c r="D204" s="142">
        <v>3.79</v>
      </c>
      <c r="E204" s="17">
        <v>4.25</v>
      </c>
      <c r="F204" s="70">
        <v>4.3899999999999997</v>
      </c>
      <c r="G204" s="18">
        <v>4.59</v>
      </c>
    </row>
    <row r="205" spans="1:7" ht="13" x14ac:dyDescent="0.15">
      <c r="A205" s="390"/>
      <c r="B205" s="365" t="s">
        <v>738</v>
      </c>
      <c r="C205" s="46" t="s">
        <v>40</v>
      </c>
      <c r="D205" s="142">
        <v>2.99</v>
      </c>
      <c r="E205" s="70">
        <v>2.99</v>
      </c>
      <c r="F205" s="70">
        <v>3.49</v>
      </c>
      <c r="G205" s="71">
        <v>3.49</v>
      </c>
    </row>
    <row r="206" spans="1:7" ht="13" x14ac:dyDescent="0.15">
      <c r="A206" s="390"/>
      <c r="B206" s="368"/>
      <c r="C206" s="42" t="s">
        <v>329</v>
      </c>
      <c r="D206" s="142">
        <v>9.99</v>
      </c>
      <c r="E206" s="70">
        <v>9.99</v>
      </c>
      <c r="F206" s="70">
        <v>10.99</v>
      </c>
      <c r="G206" s="71">
        <v>10.99</v>
      </c>
    </row>
    <row r="207" spans="1:7" ht="13" x14ac:dyDescent="0.15">
      <c r="A207" s="390"/>
      <c r="B207" s="368"/>
      <c r="C207" s="42" t="s">
        <v>330</v>
      </c>
      <c r="D207" s="142">
        <v>9.99</v>
      </c>
      <c r="E207" s="70">
        <v>9.99</v>
      </c>
      <c r="F207" s="70">
        <v>10.99</v>
      </c>
      <c r="G207" s="71">
        <v>10.99</v>
      </c>
    </row>
    <row r="208" spans="1:7" ht="13" x14ac:dyDescent="0.15">
      <c r="A208" s="390"/>
      <c r="B208" s="368"/>
      <c r="C208" s="42" t="s">
        <v>331</v>
      </c>
      <c r="D208" s="142">
        <v>9.99</v>
      </c>
      <c r="E208" s="70">
        <v>9.99</v>
      </c>
      <c r="F208" s="70">
        <v>10.99</v>
      </c>
      <c r="G208" s="71">
        <v>10.99</v>
      </c>
    </row>
    <row r="209" spans="1:7" ht="13" x14ac:dyDescent="0.15">
      <c r="A209" s="390"/>
      <c r="B209" s="368"/>
      <c r="C209" s="42" t="s">
        <v>332</v>
      </c>
      <c r="D209" s="142">
        <v>9.99</v>
      </c>
      <c r="E209" s="70">
        <v>9.99</v>
      </c>
      <c r="F209" s="70">
        <v>10.99</v>
      </c>
      <c r="G209" s="71">
        <v>10.99</v>
      </c>
    </row>
    <row r="210" spans="1:7" ht="13" x14ac:dyDescent="0.15">
      <c r="A210" s="390"/>
      <c r="B210" s="368"/>
      <c r="C210" s="42" t="s">
        <v>333</v>
      </c>
      <c r="D210" s="142">
        <v>9.99</v>
      </c>
      <c r="E210" s="70">
        <v>9.99</v>
      </c>
      <c r="F210" s="70">
        <v>10.99</v>
      </c>
      <c r="G210" s="71">
        <v>10.99</v>
      </c>
    </row>
    <row r="211" spans="1:7" ht="13" x14ac:dyDescent="0.15">
      <c r="A211" s="390"/>
      <c r="B211" s="368"/>
      <c r="C211" s="42" t="s">
        <v>334</v>
      </c>
      <c r="D211" s="142">
        <v>13.99</v>
      </c>
      <c r="E211" s="70">
        <v>13.99</v>
      </c>
      <c r="F211" s="70">
        <v>13.99</v>
      </c>
      <c r="G211" s="71">
        <v>13.99</v>
      </c>
    </row>
    <row r="212" spans="1:7" ht="13" x14ac:dyDescent="0.15">
      <c r="A212" s="390"/>
      <c r="B212" s="368"/>
      <c r="C212" s="42" t="s">
        <v>335</v>
      </c>
      <c r="D212" s="142">
        <v>11.99</v>
      </c>
      <c r="E212" s="70">
        <v>11.99</v>
      </c>
      <c r="F212" s="70">
        <v>11.99</v>
      </c>
      <c r="G212" s="71">
        <v>11.99</v>
      </c>
    </row>
    <row r="213" spans="1:7" ht="13" x14ac:dyDescent="0.15">
      <c r="A213" s="390"/>
      <c r="B213" s="366"/>
      <c r="C213" s="42" t="s">
        <v>336</v>
      </c>
      <c r="D213" s="142">
        <v>11.99</v>
      </c>
      <c r="E213" s="70">
        <v>11.99</v>
      </c>
      <c r="F213" s="70">
        <v>11.99</v>
      </c>
      <c r="G213" s="71">
        <v>11.99</v>
      </c>
    </row>
    <row r="214" spans="1:7" ht="13" x14ac:dyDescent="0.15">
      <c r="A214" s="390"/>
      <c r="B214" s="365" t="s">
        <v>337</v>
      </c>
      <c r="C214" s="42" t="s">
        <v>739</v>
      </c>
      <c r="D214" s="142">
        <v>10.99</v>
      </c>
      <c r="E214" s="70">
        <v>10.99</v>
      </c>
      <c r="F214" s="70">
        <v>12.69</v>
      </c>
      <c r="G214" s="71">
        <v>12.69</v>
      </c>
    </row>
    <row r="215" spans="1:7" ht="13" x14ac:dyDescent="0.15">
      <c r="A215" s="390"/>
      <c r="B215" s="368"/>
      <c r="C215" s="42" t="s">
        <v>341</v>
      </c>
      <c r="D215" s="142"/>
      <c r="E215" s="70">
        <v>19.989999999999998</v>
      </c>
      <c r="F215" s="70">
        <v>19.989999999999998</v>
      </c>
      <c r="G215" s="71">
        <v>19.989999999999998</v>
      </c>
    </row>
    <row r="216" spans="1:7" ht="13" x14ac:dyDescent="0.15">
      <c r="A216" s="390"/>
      <c r="B216" s="368"/>
      <c r="C216" s="42" t="s">
        <v>342</v>
      </c>
      <c r="D216" s="142">
        <v>9.99</v>
      </c>
      <c r="E216" s="70">
        <v>9.99</v>
      </c>
      <c r="F216" s="70">
        <v>11.49</v>
      </c>
      <c r="G216" s="71">
        <v>11.49</v>
      </c>
    </row>
    <row r="217" spans="1:7" ht="13" x14ac:dyDescent="0.15">
      <c r="A217" s="390"/>
      <c r="B217" s="368"/>
      <c r="C217" s="42" t="s">
        <v>343</v>
      </c>
      <c r="D217" s="142">
        <v>12.99</v>
      </c>
      <c r="E217" s="70">
        <v>12.99</v>
      </c>
      <c r="F217" s="70">
        <v>14.99</v>
      </c>
      <c r="G217" s="71">
        <v>14.99</v>
      </c>
    </row>
    <row r="218" spans="1:7" ht="13" x14ac:dyDescent="0.15">
      <c r="A218" s="390"/>
      <c r="B218" s="368"/>
      <c r="C218" s="42" t="s">
        <v>345</v>
      </c>
      <c r="D218" s="142">
        <v>13.99</v>
      </c>
      <c r="E218" s="70">
        <v>13.99</v>
      </c>
      <c r="F218" s="70">
        <v>15.99</v>
      </c>
      <c r="G218" s="71">
        <v>15.99</v>
      </c>
    </row>
    <row r="219" spans="1:7" ht="13" x14ac:dyDescent="0.15">
      <c r="A219" s="390"/>
      <c r="B219" s="368"/>
      <c r="C219" s="42" t="s">
        <v>346</v>
      </c>
      <c r="D219" s="142">
        <v>9.99</v>
      </c>
      <c r="E219" s="70">
        <v>9.99</v>
      </c>
      <c r="F219" s="70">
        <v>11.49</v>
      </c>
      <c r="G219" s="71">
        <v>11.49</v>
      </c>
    </row>
    <row r="220" spans="1:7" ht="13" x14ac:dyDescent="0.15">
      <c r="A220" s="390"/>
      <c r="B220" s="368"/>
      <c r="C220" s="42" t="s">
        <v>347</v>
      </c>
      <c r="D220" s="142">
        <v>8.99</v>
      </c>
      <c r="E220" s="70">
        <v>8.99</v>
      </c>
      <c r="F220" s="70">
        <v>10.29</v>
      </c>
      <c r="G220" s="71">
        <v>10.29</v>
      </c>
    </row>
    <row r="221" spans="1:7" ht="13" x14ac:dyDescent="0.15">
      <c r="A221" s="390"/>
      <c r="B221" s="368"/>
      <c r="C221" s="42" t="s">
        <v>348</v>
      </c>
      <c r="D221" s="142">
        <v>12.99</v>
      </c>
      <c r="E221" s="70">
        <v>14.99</v>
      </c>
      <c r="F221" s="70">
        <v>14.99</v>
      </c>
      <c r="G221" s="71">
        <v>16.989999999999998</v>
      </c>
    </row>
    <row r="222" spans="1:7" ht="13" x14ac:dyDescent="0.15">
      <c r="A222" s="390"/>
      <c r="B222" s="368"/>
      <c r="C222" s="42" t="s">
        <v>349</v>
      </c>
      <c r="D222" s="142">
        <v>24</v>
      </c>
      <c r="E222" s="70">
        <v>24</v>
      </c>
      <c r="F222" s="70">
        <v>24</v>
      </c>
      <c r="G222" s="71">
        <v>24</v>
      </c>
    </row>
    <row r="223" spans="1:7" ht="13" x14ac:dyDescent="0.15">
      <c r="A223" s="391"/>
      <c r="B223" s="378"/>
      <c r="C223" s="78" t="s">
        <v>350</v>
      </c>
      <c r="D223" s="155">
        <v>22</v>
      </c>
      <c r="E223" s="70">
        <v>22</v>
      </c>
      <c r="F223" s="144">
        <v>22</v>
      </c>
      <c r="G223" s="71">
        <v>22</v>
      </c>
    </row>
    <row r="224" spans="1:7" ht="13" x14ac:dyDescent="0.15">
      <c r="A224" s="400" t="s">
        <v>356</v>
      </c>
      <c r="B224" s="399" t="s">
        <v>357</v>
      </c>
      <c r="C224" s="61" t="s">
        <v>740</v>
      </c>
      <c r="D224" s="140">
        <v>1.89</v>
      </c>
      <c r="E224" s="13">
        <v>2.25</v>
      </c>
      <c r="F224" s="141">
        <v>2.19</v>
      </c>
      <c r="G224" s="14">
        <v>2.59</v>
      </c>
    </row>
    <row r="225" spans="1:7" ht="13" x14ac:dyDescent="0.15">
      <c r="A225" s="390"/>
      <c r="B225" s="368"/>
      <c r="C225" s="42" t="s">
        <v>741</v>
      </c>
      <c r="D225" s="142">
        <v>4.99</v>
      </c>
      <c r="E225" s="13">
        <v>4.99</v>
      </c>
      <c r="F225" s="70">
        <v>5.19</v>
      </c>
      <c r="G225" s="14">
        <v>5.49</v>
      </c>
    </row>
    <row r="226" spans="1:7" ht="13" x14ac:dyDescent="0.15">
      <c r="A226" s="390"/>
      <c r="B226" s="368"/>
      <c r="C226" s="42" t="s">
        <v>359</v>
      </c>
      <c r="D226" s="142">
        <v>0.6</v>
      </c>
      <c r="E226" s="17">
        <v>0.65</v>
      </c>
      <c r="F226" s="70">
        <v>0.69</v>
      </c>
      <c r="G226" s="18">
        <v>0.75</v>
      </c>
    </row>
    <row r="227" spans="1:7" ht="13" x14ac:dyDescent="0.15">
      <c r="A227" s="390"/>
      <c r="B227" s="366"/>
      <c r="C227" s="42" t="s">
        <v>742</v>
      </c>
      <c r="D227" s="142">
        <v>0.6</v>
      </c>
      <c r="E227" s="17">
        <v>0.65</v>
      </c>
      <c r="F227" s="70">
        <v>0.6</v>
      </c>
      <c r="G227" s="18">
        <v>0.75</v>
      </c>
    </row>
    <row r="228" spans="1:7" ht="13" x14ac:dyDescent="0.15">
      <c r="A228" s="390"/>
      <c r="B228" s="365" t="s">
        <v>361</v>
      </c>
      <c r="C228" s="46" t="s">
        <v>362</v>
      </c>
      <c r="D228" s="142">
        <v>2.79</v>
      </c>
      <c r="E228" s="17">
        <v>3.49</v>
      </c>
      <c r="F228" s="70">
        <v>3.19</v>
      </c>
      <c r="G228" s="18">
        <v>3.99</v>
      </c>
    </row>
    <row r="229" spans="1:7" ht="13" x14ac:dyDescent="0.15">
      <c r="A229" s="390"/>
      <c r="B229" s="368"/>
      <c r="C229" s="42" t="s">
        <v>363</v>
      </c>
      <c r="D229" s="142">
        <v>2.99</v>
      </c>
      <c r="E229" s="17">
        <v>3.79</v>
      </c>
      <c r="F229" s="70">
        <v>3.29</v>
      </c>
      <c r="G229" s="18">
        <v>4.25</v>
      </c>
    </row>
    <row r="230" spans="1:7" ht="13" x14ac:dyDescent="0.15">
      <c r="A230" s="390"/>
      <c r="B230" s="366"/>
      <c r="C230" s="42" t="s">
        <v>364</v>
      </c>
      <c r="D230" s="142">
        <v>2.79</v>
      </c>
      <c r="E230" s="17">
        <v>3.49</v>
      </c>
      <c r="F230" s="70">
        <v>3.19</v>
      </c>
      <c r="G230" s="18">
        <v>3.99</v>
      </c>
    </row>
    <row r="231" spans="1:7" ht="13" x14ac:dyDescent="0.15">
      <c r="A231" s="390"/>
      <c r="B231" s="401" t="s">
        <v>743</v>
      </c>
      <c r="C231" s="42" t="s">
        <v>159</v>
      </c>
      <c r="D231" s="142">
        <v>3.49</v>
      </c>
      <c r="E231" s="17">
        <v>3.99</v>
      </c>
      <c r="F231" s="70">
        <v>3.99</v>
      </c>
      <c r="G231" s="18">
        <v>4.49</v>
      </c>
    </row>
    <row r="232" spans="1:7" ht="13" x14ac:dyDescent="0.15">
      <c r="A232" s="390"/>
      <c r="B232" s="366"/>
      <c r="C232" s="42" t="s">
        <v>744</v>
      </c>
      <c r="D232" s="142">
        <v>3.49</v>
      </c>
      <c r="E232" s="17">
        <v>3.99</v>
      </c>
      <c r="F232" s="70">
        <v>3.99</v>
      </c>
      <c r="G232" s="18">
        <v>4.49</v>
      </c>
    </row>
    <row r="233" spans="1:7" ht="13" x14ac:dyDescent="0.15">
      <c r="A233" s="390"/>
      <c r="B233" s="401" t="s">
        <v>365</v>
      </c>
      <c r="C233" s="42" t="s">
        <v>40</v>
      </c>
      <c r="D233" s="142">
        <v>4.99</v>
      </c>
      <c r="E233" s="17">
        <v>4.99</v>
      </c>
      <c r="F233" s="70">
        <v>5.99</v>
      </c>
      <c r="G233" s="18">
        <v>5.99</v>
      </c>
    </row>
    <row r="234" spans="1:7" ht="13" x14ac:dyDescent="0.15">
      <c r="A234" s="390"/>
      <c r="B234" s="366"/>
      <c r="C234" s="42" t="s">
        <v>366</v>
      </c>
      <c r="D234" s="142">
        <v>29.99</v>
      </c>
      <c r="E234" s="17">
        <v>29.99</v>
      </c>
      <c r="F234" s="70">
        <v>34.99</v>
      </c>
      <c r="G234" s="18">
        <v>34.99</v>
      </c>
    </row>
    <row r="235" spans="1:7" ht="13" x14ac:dyDescent="0.15">
      <c r="A235" s="390"/>
      <c r="B235" s="365" t="s">
        <v>745</v>
      </c>
      <c r="C235" s="42" t="s">
        <v>368</v>
      </c>
      <c r="D235" s="142">
        <v>1.99</v>
      </c>
      <c r="E235" s="70">
        <v>1.99</v>
      </c>
      <c r="F235" s="70">
        <v>2.29</v>
      </c>
      <c r="G235" s="71">
        <v>2.29</v>
      </c>
    </row>
    <row r="236" spans="1:7" ht="13" x14ac:dyDescent="0.15">
      <c r="A236" s="390"/>
      <c r="B236" s="368"/>
      <c r="C236" s="42" t="s">
        <v>746</v>
      </c>
      <c r="D236" s="142">
        <v>1.99</v>
      </c>
      <c r="E236" s="70">
        <v>1.99</v>
      </c>
      <c r="F236" s="70">
        <v>2.29</v>
      </c>
      <c r="G236" s="71">
        <v>2.29</v>
      </c>
    </row>
    <row r="237" spans="1:7" ht="13" x14ac:dyDescent="0.15">
      <c r="A237" s="390"/>
      <c r="B237" s="368"/>
      <c r="C237" s="42" t="s">
        <v>747</v>
      </c>
      <c r="D237" s="142">
        <v>1.99</v>
      </c>
      <c r="E237" s="70">
        <v>1.99</v>
      </c>
      <c r="F237" s="70">
        <v>2.29</v>
      </c>
      <c r="G237" s="71">
        <v>2.29</v>
      </c>
    </row>
    <row r="238" spans="1:7" ht="13" x14ac:dyDescent="0.15">
      <c r="A238" s="390"/>
      <c r="B238" s="368"/>
      <c r="C238" s="156" t="s">
        <v>369</v>
      </c>
      <c r="D238" s="142">
        <v>4.99</v>
      </c>
      <c r="E238" s="70">
        <v>4.99</v>
      </c>
      <c r="F238" s="70">
        <v>5.79</v>
      </c>
      <c r="G238" s="71">
        <v>5.79</v>
      </c>
    </row>
    <row r="239" spans="1:7" ht="13" x14ac:dyDescent="0.15">
      <c r="A239" s="390"/>
      <c r="B239" s="368"/>
      <c r="C239" s="42" t="s">
        <v>748</v>
      </c>
      <c r="D239" s="142">
        <v>1.99</v>
      </c>
      <c r="E239" s="70">
        <v>1.99</v>
      </c>
      <c r="F239" s="70">
        <v>2.29</v>
      </c>
      <c r="G239" s="71">
        <v>2.29</v>
      </c>
    </row>
    <row r="240" spans="1:7" ht="13" x14ac:dyDescent="0.15">
      <c r="A240" s="390"/>
      <c r="B240" s="368"/>
      <c r="C240" s="42" t="s">
        <v>749</v>
      </c>
      <c r="D240" s="142">
        <v>3.49</v>
      </c>
      <c r="E240" s="70">
        <v>3.49</v>
      </c>
      <c r="F240" s="70">
        <v>3.99</v>
      </c>
      <c r="G240" s="71">
        <v>3.99</v>
      </c>
    </row>
    <row r="241" spans="1:7" ht="13" x14ac:dyDescent="0.15">
      <c r="A241" s="390"/>
      <c r="B241" s="368"/>
      <c r="C241" s="42" t="s">
        <v>370</v>
      </c>
      <c r="D241" s="142">
        <v>2.4900000000000002</v>
      </c>
      <c r="E241" s="70">
        <v>2.4900000000000002</v>
      </c>
      <c r="F241" s="70">
        <v>3.19</v>
      </c>
      <c r="G241" s="71">
        <v>3.19</v>
      </c>
    </row>
    <row r="242" spans="1:7" ht="13" x14ac:dyDescent="0.15">
      <c r="A242" s="390"/>
      <c r="B242" s="366"/>
      <c r="C242" s="42" t="s">
        <v>371</v>
      </c>
      <c r="D242" s="142">
        <v>4.99</v>
      </c>
      <c r="E242" s="70">
        <v>4.99</v>
      </c>
      <c r="F242" s="70">
        <v>5.99</v>
      </c>
      <c r="G242" s="71">
        <v>5.99</v>
      </c>
    </row>
    <row r="243" spans="1:7" ht="13" x14ac:dyDescent="0.15">
      <c r="A243" s="390"/>
      <c r="B243" s="365" t="s">
        <v>381</v>
      </c>
      <c r="C243" s="42" t="s">
        <v>382</v>
      </c>
      <c r="D243" s="142">
        <v>3.49</v>
      </c>
      <c r="E243" s="17">
        <v>3.79</v>
      </c>
      <c r="F243" s="70">
        <v>3.99</v>
      </c>
      <c r="G243" s="18">
        <v>4.3499999999999996</v>
      </c>
    </row>
    <row r="244" spans="1:7" ht="13" x14ac:dyDescent="0.15">
      <c r="A244" s="390"/>
      <c r="B244" s="368"/>
      <c r="C244" s="42" t="s">
        <v>383</v>
      </c>
      <c r="D244" s="142">
        <v>4.49</v>
      </c>
      <c r="E244" s="17">
        <v>4.6900000000000004</v>
      </c>
      <c r="F244" s="70">
        <v>5.19</v>
      </c>
      <c r="G244" s="18">
        <v>5.19</v>
      </c>
    </row>
    <row r="245" spans="1:7" ht="13" x14ac:dyDescent="0.15">
      <c r="A245" s="390"/>
      <c r="B245" s="368"/>
      <c r="C245" s="42" t="s">
        <v>384</v>
      </c>
      <c r="D245" s="142">
        <v>5.99</v>
      </c>
      <c r="E245" s="17">
        <v>6.49</v>
      </c>
      <c r="F245" s="70">
        <v>6.89</v>
      </c>
      <c r="G245" s="18">
        <v>7.49</v>
      </c>
    </row>
    <row r="246" spans="1:7" ht="13" x14ac:dyDescent="0.15">
      <c r="A246" s="390"/>
      <c r="B246" s="368"/>
      <c r="C246" s="42" t="s">
        <v>385</v>
      </c>
      <c r="D246" s="142">
        <v>6.99</v>
      </c>
      <c r="E246" s="17">
        <v>7.49</v>
      </c>
      <c r="F246" s="70">
        <v>7.99</v>
      </c>
      <c r="G246" s="18">
        <v>8.49</v>
      </c>
    </row>
    <row r="247" spans="1:7" ht="13" x14ac:dyDescent="0.15">
      <c r="A247" s="390"/>
      <c r="B247" s="368"/>
      <c r="C247" s="42" t="s">
        <v>386</v>
      </c>
      <c r="D247" s="142">
        <v>3.49</v>
      </c>
      <c r="E247" s="17">
        <v>3.79</v>
      </c>
      <c r="F247" s="70">
        <v>3.99</v>
      </c>
      <c r="G247" s="18">
        <v>3.99</v>
      </c>
    </row>
    <row r="248" spans="1:7" ht="13" x14ac:dyDescent="0.15">
      <c r="A248" s="390"/>
      <c r="B248" s="368"/>
      <c r="C248" s="42" t="s">
        <v>387</v>
      </c>
      <c r="D248" s="142">
        <v>3.49</v>
      </c>
      <c r="E248" s="17">
        <v>3.79</v>
      </c>
      <c r="F248" s="70">
        <v>3.99</v>
      </c>
      <c r="G248" s="18">
        <v>3.99</v>
      </c>
    </row>
    <row r="249" spans="1:7" ht="13" x14ac:dyDescent="0.15">
      <c r="A249" s="393" t="s">
        <v>388</v>
      </c>
      <c r="B249" s="399" t="s">
        <v>389</v>
      </c>
      <c r="C249" s="61" t="s">
        <v>390</v>
      </c>
      <c r="D249" s="140">
        <v>2.4900000000000002</v>
      </c>
      <c r="E249" s="17">
        <v>2.69</v>
      </c>
      <c r="F249" s="141">
        <v>2.99</v>
      </c>
      <c r="G249" s="18">
        <v>2.99</v>
      </c>
    </row>
    <row r="250" spans="1:7" ht="13" x14ac:dyDescent="0.15">
      <c r="A250" s="390"/>
      <c r="B250" s="366"/>
      <c r="C250" s="42" t="s">
        <v>391</v>
      </c>
      <c r="D250" s="142">
        <v>9.99</v>
      </c>
      <c r="E250" s="17">
        <v>12.99</v>
      </c>
      <c r="F250" s="70">
        <v>11.49</v>
      </c>
      <c r="G250" s="18">
        <v>14.99</v>
      </c>
    </row>
    <row r="251" spans="1:7" ht="13" x14ac:dyDescent="0.15">
      <c r="A251" s="390"/>
      <c r="B251" s="365" t="s">
        <v>392</v>
      </c>
      <c r="C251" s="46" t="s">
        <v>129</v>
      </c>
      <c r="D251" s="142">
        <v>1.49</v>
      </c>
      <c r="E251" s="17">
        <v>1.65</v>
      </c>
      <c r="F251" s="70">
        <v>1.79</v>
      </c>
      <c r="G251" s="18">
        <v>1.89</v>
      </c>
    </row>
    <row r="252" spans="1:7" ht="13" x14ac:dyDescent="0.15">
      <c r="A252" s="390"/>
      <c r="B252" s="368"/>
      <c r="C252" s="46" t="s">
        <v>131</v>
      </c>
      <c r="D252" s="142">
        <v>3.99</v>
      </c>
      <c r="E252" s="17">
        <v>4.3899999999999997</v>
      </c>
      <c r="F252" s="70">
        <v>4.49</v>
      </c>
      <c r="G252" s="18">
        <v>4.99</v>
      </c>
    </row>
    <row r="253" spans="1:7" ht="13" x14ac:dyDescent="0.15">
      <c r="A253" s="390"/>
      <c r="B253" s="366"/>
      <c r="C253" s="46" t="s">
        <v>393</v>
      </c>
      <c r="D253" s="142">
        <v>7.99</v>
      </c>
      <c r="E253" s="17">
        <v>8.49</v>
      </c>
      <c r="F253" s="70">
        <v>8.99</v>
      </c>
      <c r="G253" s="18">
        <v>9.7899999999999991</v>
      </c>
    </row>
    <row r="254" spans="1:7" ht="13" x14ac:dyDescent="0.15">
      <c r="A254" s="390"/>
      <c r="B254" s="365" t="s">
        <v>394</v>
      </c>
      <c r="C254" s="46" t="s">
        <v>129</v>
      </c>
      <c r="D254" s="142">
        <v>3.99</v>
      </c>
      <c r="E254" s="17">
        <v>3.99</v>
      </c>
      <c r="F254" s="70">
        <v>3.99</v>
      </c>
      <c r="G254" s="18">
        <v>4.29</v>
      </c>
    </row>
    <row r="255" spans="1:7" ht="13" x14ac:dyDescent="0.15">
      <c r="A255" s="390"/>
      <c r="B255" s="366"/>
      <c r="C255" s="46" t="s">
        <v>131</v>
      </c>
      <c r="D255" s="142">
        <v>4.99</v>
      </c>
      <c r="E255" s="17">
        <v>4.99</v>
      </c>
      <c r="F255" s="70">
        <v>5.79</v>
      </c>
      <c r="G255" s="18">
        <v>5.99</v>
      </c>
    </row>
    <row r="256" spans="1:7" ht="13" x14ac:dyDescent="0.15">
      <c r="A256" s="390"/>
      <c r="B256" s="365" t="s">
        <v>395</v>
      </c>
      <c r="C256" s="48" t="s">
        <v>395</v>
      </c>
      <c r="D256" s="143">
        <v>3.49</v>
      </c>
      <c r="E256" s="67"/>
      <c r="F256" s="151">
        <v>3.89</v>
      </c>
      <c r="G256" s="68"/>
    </row>
    <row r="257" spans="1:7" ht="13" x14ac:dyDescent="0.15">
      <c r="A257" s="390"/>
      <c r="B257" s="368"/>
      <c r="C257" s="42" t="s">
        <v>396</v>
      </c>
      <c r="D257" s="142">
        <v>2.25</v>
      </c>
      <c r="E257" s="17">
        <v>2.4900000000000002</v>
      </c>
      <c r="F257" s="70">
        <v>2.4900000000000002</v>
      </c>
      <c r="G257" s="18">
        <v>2.99</v>
      </c>
    </row>
    <row r="258" spans="1:7" ht="13" x14ac:dyDescent="0.15">
      <c r="A258" s="390"/>
      <c r="B258" s="368"/>
      <c r="C258" s="42" t="s">
        <v>397</v>
      </c>
      <c r="D258" s="142">
        <v>2.4900000000000002</v>
      </c>
      <c r="E258" s="17">
        <v>2.99</v>
      </c>
      <c r="F258" s="70">
        <v>2.89</v>
      </c>
      <c r="G258" s="18">
        <v>3.39</v>
      </c>
    </row>
    <row r="259" spans="1:7" ht="13" x14ac:dyDescent="0.15">
      <c r="A259" s="390"/>
      <c r="B259" s="368"/>
      <c r="C259" s="42" t="s">
        <v>398</v>
      </c>
      <c r="D259" s="142">
        <v>3.99</v>
      </c>
      <c r="E259" s="17">
        <v>4.29</v>
      </c>
      <c r="F259" s="70">
        <v>4.59</v>
      </c>
      <c r="G259" s="18">
        <v>4.8899999999999997</v>
      </c>
    </row>
    <row r="260" spans="1:7" ht="13" x14ac:dyDescent="0.15">
      <c r="A260" s="390"/>
      <c r="B260" s="368"/>
      <c r="C260" s="42" t="s">
        <v>399</v>
      </c>
      <c r="D260" s="142">
        <v>1.99</v>
      </c>
      <c r="E260" s="17">
        <v>1.99</v>
      </c>
      <c r="F260" s="70">
        <v>2.29</v>
      </c>
      <c r="G260" s="18">
        <v>2.29</v>
      </c>
    </row>
    <row r="261" spans="1:7" ht="13" x14ac:dyDescent="0.15">
      <c r="A261" s="390"/>
      <c r="B261" s="368"/>
      <c r="C261" s="42" t="s">
        <v>400</v>
      </c>
      <c r="D261" s="142">
        <v>1.99</v>
      </c>
      <c r="E261" s="17">
        <v>1.99</v>
      </c>
      <c r="F261" s="70">
        <v>2.29</v>
      </c>
      <c r="G261" s="18">
        <v>2.29</v>
      </c>
    </row>
    <row r="262" spans="1:7" ht="13" x14ac:dyDescent="0.15">
      <c r="A262" s="391"/>
      <c r="B262" s="378"/>
      <c r="C262" s="73" t="s">
        <v>401</v>
      </c>
      <c r="D262" s="157">
        <v>1.99</v>
      </c>
      <c r="E262" s="67"/>
      <c r="F262" s="158">
        <v>2.29</v>
      </c>
      <c r="G262" s="68"/>
    </row>
    <row r="263" spans="1:7" ht="13" x14ac:dyDescent="0.15">
      <c r="A263" s="393" t="s">
        <v>402</v>
      </c>
      <c r="B263" s="399" t="s">
        <v>403</v>
      </c>
      <c r="C263" s="61" t="s">
        <v>404</v>
      </c>
      <c r="D263" s="140">
        <v>1.89</v>
      </c>
      <c r="E263" s="70">
        <v>1.99</v>
      </c>
      <c r="F263" s="141">
        <v>2.25</v>
      </c>
      <c r="G263" s="71">
        <v>2.29</v>
      </c>
    </row>
    <row r="264" spans="1:7" ht="13" x14ac:dyDescent="0.15">
      <c r="A264" s="390"/>
      <c r="B264" s="368"/>
      <c r="C264" s="42" t="s">
        <v>405</v>
      </c>
      <c r="D264" s="142">
        <v>1.89</v>
      </c>
      <c r="E264" s="71">
        <v>1.99</v>
      </c>
      <c r="F264" s="142">
        <v>2.25</v>
      </c>
      <c r="G264" s="71">
        <v>2.29</v>
      </c>
    </row>
    <row r="265" spans="1:7" ht="13" x14ac:dyDescent="0.15">
      <c r="A265" s="390"/>
      <c r="B265" s="368"/>
      <c r="C265" s="42" t="s">
        <v>406</v>
      </c>
      <c r="D265" s="142">
        <v>1.89</v>
      </c>
      <c r="E265" s="71">
        <v>1.99</v>
      </c>
      <c r="F265" s="142">
        <v>2.25</v>
      </c>
      <c r="G265" s="71">
        <v>2.29</v>
      </c>
    </row>
    <row r="266" spans="1:7" ht="13" x14ac:dyDescent="0.15">
      <c r="A266" s="390"/>
      <c r="B266" s="368"/>
      <c r="C266" s="42" t="s">
        <v>407</v>
      </c>
      <c r="D266" s="142">
        <v>1.89</v>
      </c>
      <c r="E266" s="71">
        <v>1.99</v>
      </c>
      <c r="F266" s="142">
        <v>2.25</v>
      </c>
      <c r="G266" s="71">
        <v>2.29</v>
      </c>
    </row>
    <row r="267" spans="1:7" ht="13" x14ac:dyDescent="0.15">
      <c r="A267" s="390"/>
      <c r="B267" s="368"/>
      <c r="C267" s="42" t="s">
        <v>750</v>
      </c>
      <c r="D267" s="142">
        <v>1.89</v>
      </c>
      <c r="E267" s="71">
        <v>1.99</v>
      </c>
      <c r="F267" s="142">
        <v>2.25</v>
      </c>
      <c r="G267" s="71">
        <v>2.29</v>
      </c>
    </row>
    <row r="268" spans="1:7" ht="13" x14ac:dyDescent="0.15">
      <c r="A268" s="390"/>
      <c r="B268" s="368"/>
      <c r="C268" s="42" t="s">
        <v>410</v>
      </c>
      <c r="D268" s="142">
        <v>1.89</v>
      </c>
      <c r="E268" s="71">
        <v>1.99</v>
      </c>
      <c r="F268" s="142">
        <v>2.25</v>
      </c>
      <c r="G268" s="71">
        <v>2.29</v>
      </c>
    </row>
    <row r="269" spans="1:7" ht="13" x14ac:dyDescent="0.15">
      <c r="A269" s="390"/>
      <c r="B269" s="368"/>
      <c r="C269" s="42" t="s">
        <v>412</v>
      </c>
      <c r="D269" s="142">
        <v>1.89</v>
      </c>
      <c r="E269" s="71">
        <v>1.99</v>
      </c>
      <c r="F269" s="142">
        <v>2.25</v>
      </c>
      <c r="G269" s="71">
        <v>2.29</v>
      </c>
    </row>
    <row r="270" spans="1:7" ht="13" x14ac:dyDescent="0.15">
      <c r="A270" s="390"/>
      <c r="B270" s="368"/>
      <c r="C270" s="42" t="s">
        <v>413</v>
      </c>
      <c r="D270" s="142">
        <v>1.89</v>
      </c>
      <c r="E270" s="71">
        <v>1.99</v>
      </c>
      <c r="F270" s="142">
        <v>2.25</v>
      </c>
      <c r="G270" s="71">
        <v>2.29</v>
      </c>
    </row>
    <row r="271" spans="1:7" ht="13" x14ac:dyDescent="0.15">
      <c r="A271" s="390"/>
      <c r="B271" s="368"/>
      <c r="C271" s="42" t="s">
        <v>414</v>
      </c>
      <c r="D271" s="142">
        <v>1.89</v>
      </c>
      <c r="E271" s="71">
        <v>1.99</v>
      </c>
      <c r="F271" s="142">
        <v>2.25</v>
      </c>
      <c r="G271" s="71">
        <v>2.29</v>
      </c>
    </row>
    <row r="272" spans="1:7" ht="13" x14ac:dyDescent="0.15">
      <c r="A272" s="390"/>
      <c r="B272" s="366"/>
      <c r="C272" s="42" t="s">
        <v>411</v>
      </c>
      <c r="D272" s="142"/>
      <c r="E272" s="71">
        <v>1.99</v>
      </c>
      <c r="F272" s="142">
        <v>3.49</v>
      </c>
      <c r="G272" s="71">
        <v>2.29</v>
      </c>
    </row>
    <row r="273" spans="1:7" ht="13" x14ac:dyDescent="0.15">
      <c r="A273" s="390"/>
      <c r="B273" s="365" t="s">
        <v>415</v>
      </c>
      <c r="C273" s="42" t="s">
        <v>404</v>
      </c>
      <c r="D273" s="142">
        <v>2.79</v>
      </c>
      <c r="E273" s="71">
        <v>2.99</v>
      </c>
      <c r="F273" s="70">
        <v>3.49</v>
      </c>
      <c r="G273" s="71">
        <v>3.49</v>
      </c>
    </row>
    <row r="274" spans="1:7" ht="13" x14ac:dyDescent="0.15">
      <c r="A274" s="390"/>
      <c r="B274" s="368"/>
      <c r="C274" s="42" t="s">
        <v>405</v>
      </c>
      <c r="D274" s="142">
        <v>2.79</v>
      </c>
      <c r="E274" s="71">
        <v>2.99</v>
      </c>
      <c r="F274" s="70">
        <v>3.49</v>
      </c>
      <c r="G274" s="71">
        <v>3.49</v>
      </c>
    </row>
    <row r="275" spans="1:7" ht="13" x14ac:dyDescent="0.15">
      <c r="A275" s="390"/>
      <c r="B275" s="368"/>
      <c r="C275" s="42" t="s">
        <v>406</v>
      </c>
      <c r="D275" s="142">
        <v>2.79</v>
      </c>
      <c r="E275" s="71">
        <v>2.99</v>
      </c>
      <c r="F275" s="70">
        <v>3.49</v>
      </c>
      <c r="G275" s="71">
        <v>3.49</v>
      </c>
    </row>
    <row r="276" spans="1:7" ht="13" x14ac:dyDescent="0.15">
      <c r="A276" s="390"/>
      <c r="B276" s="366"/>
      <c r="C276" s="42" t="s">
        <v>407</v>
      </c>
      <c r="D276" s="142">
        <v>2.79</v>
      </c>
      <c r="E276" s="71">
        <v>2.99</v>
      </c>
      <c r="F276" s="70">
        <v>3.99</v>
      </c>
      <c r="G276" s="71">
        <v>3.49</v>
      </c>
    </row>
    <row r="277" spans="1:7" ht="13" x14ac:dyDescent="0.15">
      <c r="A277" s="390"/>
      <c r="B277" s="365" t="s">
        <v>417</v>
      </c>
      <c r="C277" s="42" t="s">
        <v>404</v>
      </c>
      <c r="D277" s="142">
        <v>3.25</v>
      </c>
      <c r="E277" s="71">
        <v>3.49</v>
      </c>
      <c r="F277" s="70">
        <v>3.99</v>
      </c>
      <c r="G277" s="71">
        <v>3.99</v>
      </c>
    </row>
    <row r="278" spans="1:7" ht="13" x14ac:dyDescent="0.15">
      <c r="A278" s="390"/>
      <c r="B278" s="368"/>
      <c r="C278" s="42" t="s">
        <v>405</v>
      </c>
      <c r="D278" s="142">
        <v>3.25</v>
      </c>
      <c r="E278" s="71">
        <v>3.49</v>
      </c>
      <c r="F278" s="70">
        <v>3.99</v>
      </c>
      <c r="G278" s="71">
        <v>3.99</v>
      </c>
    </row>
    <row r="279" spans="1:7" ht="13" x14ac:dyDescent="0.15">
      <c r="A279" s="390"/>
      <c r="B279" s="368"/>
      <c r="C279" s="42" t="s">
        <v>407</v>
      </c>
      <c r="D279" s="142">
        <v>3.25</v>
      </c>
      <c r="E279" s="71">
        <v>3.49</v>
      </c>
      <c r="F279" s="70">
        <v>3.99</v>
      </c>
      <c r="G279" s="71">
        <v>3.99</v>
      </c>
    </row>
    <row r="280" spans="1:7" ht="13" x14ac:dyDescent="0.15">
      <c r="A280" s="390"/>
      <c r="B280" s="368"/>
      <c r="C280" s="42" t="s">
        <v>409</v>
      </c>
      <c r="D280" s="142">
        <v>3.25</v>
      </c>
      <c r="E280" s="71">
        <v>3.49</v>
      </c>
      <c r="F280" s="70">
        <v>3.99</v>
      </c>
      <c r="G280" s="71">
        <v>3.99</v>
      </c>
    </row>
    <row r="281" spans="1:7" ht="13" x14ac:dyDescent="0.15">
      <c r="A281" s="390"/>
      <c r="B281" s="366"/>
      <c r="C281" s="42" t="s">
        <v>418</v>
      </c>
      <c r="D281" s="142">
        <v>3.25</v>
      </c>
      <c r="E281" s="71">
        <v>3.49</v>
      </c>
      <c r="F281" s="70">
        <v>4.49</v>
      </c>
      <c r="G281" s="71">
        <v>3.99</v>
      </c>
    </row>
    <row r="282" spans="1:7" ht="13" x14ac:dyDescent="0.15">
      <c r="A282" s="390"/>
      <c r="B282" s="365" t="s">
        <v>419</v>
      </c>
      <c r="C282" s="46" t="s">
        <v>420</v>
      </c>
      <c r="D282" s="142">
        <v>3.89</v>
      </c>
      <c r="E282" s="14">
        <v>3.99</v>
      </c>
      <c r="F282" s="70">
        <v>5.49</v>
      </c>
      <c r="G282" s="14">
        <v>4.59</v>
      </c>
    </row>
    <row r="283" spans="1:7" ht="13" x14ac:dyDescent="0.15">
      <c r="A283" s="390"/>
      <c r="B283" s="368"/>
      <c r="C283" s="46" t="s">
        <v>131</v>
      </c>
      <c r="D283" s="142">
        <v>4.79</v>
      </c>
      <c r="E283" s="14">
        <v>4.99</v>
      </c>
      <c r="F283" s="70">
        <v>29</v>
      </c>
      <c r="G283" s="14">
        <v>5.69</v>
      </c>
    </row>
    <row r="284" spans="1:7" ht="13" x14ac:dyDescent="0.15">
      <c r="A284" s="390"/>
      <c r="B284" s="366"/>
      <c r="C284" s="46" t="s">
        <v>421</v>
      </c>
      <c r="D284" s="142">
        <v>27.99</v>
      </c>
      <c r="E284" s="14">
        <v>27.99</v>
      </c>
      <c r="F284" s="159">
        <v>3.99</v>
      </c>
      <c r="G284" s="14">
        <v>30.99</v>
      </c>
    </row>
    <row r="285" spans="1:7" ht="13" x14ac:dyDescent="0.15">
      <c r="A285" s="390"/>
      <c r="B285" s="365" t="s">
        <v>422</v>
      </c>
      <c r="C285" s="42" t="s">
        <v>12</v>
      </c>
      <c r="D285" s="160">
        <v>3.49</v>
      </c>
      <c r="E285" s="75">
        <v>3.49</v>
      </c>
      <c r="F285" s="159">
        <v>3.99</v>
      </c>
      <c r="G285" s="75">
        <v>3.99</v>
      </c>
    </row>
    <row r="286" spans="1:7" ht="13" x14ac:dyDescent="0.15">
      <c r="A286" s="390"/>
      <c r="B286" s="368"/>
      <c r="C286" s="42" t="s">
        <v>8</v>
      </c>
      <c r="D286" s="160">
        <v>3.49</v>
      </c>
      <c r="E286" s="75">
        <v>3.49</v>
      </c>
      <c r="F286" s="159">
        <v>3.99</v>
      </c>
      <c r="G286" s="75">
        <v>3.99</v>
      </c>
    </row>
    <row r="287" spans="1:7" ht="13" x14ac:dyDescent="0.15">
      <c r="A287" s="390"/>
      <c r="B287" s="368"/>
      <c r="C287" s="42" t="s">
        <v>15</v>
      </c>
      <c r="D287" s="160">
        <v>3.49</v>
      </c>
      <c r="E287" s="75">
        <v>3.49</v>
      </c>
      <c r="F287" s="159">
        <v>3.99</v>
      </c>
      <c r="G287" s="75">
        <v>3.99</v>
      </c>
    </row>
    <row r="288" spans="1:7" ht="13" x14ac:dyDescent="0.15">
      <c r="A288" s="390"/>
      <c r="B288" s="368"/>
      <c r="C288" s="42" t="s">
        <v>263</v>
      </c>
      <c r="D288" s="160">
        <v>3.49</v>
      </c>
      <c r="E288" s="75">
        <v>3.49</v>
      </c>
      <c r="F288" s="159">
        <v>3.99</v>
      </c>
      <c r="G288" s="75">
        <v>3.99</v>
      </c>
    </row>
    <row r="289" spans="1:7" ht="13" x14ac:dyDescent="0.15">
      <c r="A289" s="390"/>
      <c r="B289" s="368"/>
      <c r="C289" s="42" t="s">
        <v>423</v>
      </c>
      <c r="D289" s="160">
        <v>3.49</v>
      </c>
      <c r="E289" s="75">
        <v>3.49</v>
      </c>
      <c r="F289" s="159">
        <v>3.99</v>
      </c>
      <c r="G289" s="75">
        <v>3.99</v>
      </c>
    </row>
    <row r="290" spans="1:7" ht="13" x14ac:dyDescent="0.15">
      <c r="A290" s="390"/>
      <c r="B290" s="368"/>
      <c r="C290" s="42" t="s">
        <v>266</v>
      </c>
      <c r="D290" s="160">
        <v>3.49</v>
      </c>
      <c r="E290" s="75">
        <v>3.49</v>
      </c>
      <c r="F290" s="159">
        <v>3.99</v>
      </c>
      <c r="G290" s="75">
        <v>3.99</v>
      </c>
    </row>
    <row r="291" spans="1:7" ht="13" x14ac:dyDescent="0.15">
      <c r="A291" s="390"/>
      <c r="B291" s="368"/>
      <c r="C291" s="42" t="s">
        <v>424</v>
      </c>
      <c r="D291" s="160">
        <v>3.49</v>
      </c>
      <c r="E291" s="75">
        <v>3.49</v>
      </c>
      <c r="F291" s="159">
        <v>3.99</v>
      </c>
      <c r="G291" s="75">
        <v>3.99</v>
      </c>
    </row>
    <row r="292" spans="1:7" ht="13" x14ac:dyDescent="0.15">
      <c r="A292" s="390"/>
      <c r="B292" s="366"/>
      <c r="C292" s="42" t="s">
        <v>316</v>
      </c>
      <c r="D292" s="160">
        <v>3.49</v>
      </c>
      <c r="E292" s="75">
        <v>3.49</v>
      </c>
      <c r="F292" s="159">
        <v>4.99</v>
      </c>
      <c r="G292" s="75">
        <v>3.99</v>
      </c>
    </row>
    <row r="293" spans="1:7" ht="13" x14ac:dyDescent="0.15">
      <c r="A293" s="390"/>
      <c r="B293" s="365" t="s">
        <v>425</v>
      </c>
      <c r="C293" s="42" t="s">
        <v>12</v>
      </c>
      <c r="D293" s="160">
        <v>3.99</v>
      </c>
      <c r="E293" s="75">
        <v>3.99</v>
      </c>
      <c r="F293" s="159">
        <v>4.99</v>
      </c>
      <c r="G293" s="75">
        <v>4.99</v>
      </c>
    </row>
    <row r="294" spans="1:7" ht="13" x14ac:dyDescent="0.15">
      <c r="A294" s="390"/>
      <c r="B294" s="368"/>
      <c r="C294" s="42" t="s">
        <v>8</v>
      </c>
      <c r="D294" s="160">
        <v>3.99</v>
      </c>
      <c r="E294" s="75">
        <v>3.99</v>
      </c>
      <c r="F294" s="159">
        <v>4.99</v>
      </c>
      <c r="G294" s="75">
        <v>4.99</v>
      </c>
    </row>
    <row r="295" spans="1:7" ht="13" x14ac:dyDescent="0.15">
      <c r="A295" s="390"/>
      <c r="B295" s="368"/>
      <c r="C295" s="42" t="s">
        <v>15</v>
      </c>
      <c r="D295" s="160">
        <v>3.99</v>
      </c>
      <c r="E295" s="75">
        <v>3.99</v>
      </c>
      <c r="F295" s="159">
        <v>4.99</v>
      </c>
      <c r="G295" s="75">
        <v>4.99</v>
      </c>
    </row>
    <row r="296" spans="1:7" ht="13" x14ac:dyDescent="0.15">
      <c r="A296" s="390"/>
      <c r="B296" s="368"/>
      <c r="C296" s="42" t="s">
        <v>263</v>
      </c>
      <c r="D296" s="160">
        <v>3.99</v>
      </c>
      <c r="E296" s="75">
        <v>3.99</v>
      </c>
      <c r="F296" s="159">
        <v>4.99</v>
      </c>
      <c r="G296" s="75">
        <v>4.99</v>
      </c>
    </row>
    <row r="297" spans="1:7" ht="13" x14ac:dyDescent="0.15">
      <c r="A297" s="390"/>
      <c r="B297" s="368"/>
      <c r="C297" s="42" t="s">
        <v>423</v>
      </c>
      <c r="D297" s="160">
        <v>3.99</v>
      </c>
      <c r="E297" s="75">
        <v>3.99</v>
      </c>
      <c r="F297" s="159">
        <v>4.99</v>
      </c>
      <c r="G297" s="75">
        <v>4.99</v>
      </c>
    </row>
    <row r="298" spans="1:7" ht="13" x14ac:dyDescent="0.15">
      <c r="A298" s="390"/>
      <c r="B298" s="368"/>
      <c r="C298" s="42" t="s">
        <v>266</v>
      </c>
      <c r="D298" s="160">
        <v>3.99</v>
      </c>
      <c r="E298" s="75">
        <v>3.99</v>
      </c>
      <c r="F298" s="159">
        <v>4.99</v>
      </c>
      <c r="G298" s="75">
        <v>4.99</v>
      </c>
    </row>
    <row r="299" spans="1:7" ht="13" x14ac:dyDescent="0.15">
      <c r="A299" s="390"/>
      <c r="B299" s="368"/>
      <c r="C299" s="42" t="s">
        <v>424</v>
      </c>
      <c r="D299" s="160">
        <v>3.99</v>
      </c>
      <c r="E299" s="75">
        <v>3.99</v>
      </c>
      <c r="F299" s="159">
        <v>4.99</v>
      </c>
      <c r="G299" s="75">
        <v>4.99</v>
      </c>
    </row>
    <row r="300" spans="1:7" ht="13" x14ac:dyDescent="0.15">
      <c r="A300" s="390"/>
      <c r="B300" s="366"/>
      <c r="C300" s="42" t="s">
        <v>316</v>
      </c>
      <c r="D300" s="160">
        <v>3.99</v>
      </c>
      <c r="E300" s="75">
        <v>3.99</v>
      </c>
      <c r="F300" s="70">
        <v>2.99</v>
      </c>
      <c r="G300" s="75">
        <v>4.99</v>
      </c>
    </row>
    <row r="301" spans="1:7" ht="13" x14ac:dyDescent="0.15">
      <c r="A301" s="390"/>
      <c r="B301" s="365" t="s">
        <v>426</v>
      </c>
      <c r="C301" s="46" t="s">
        <v>129</v>
      </c>
      <c r="D301" s="142">
        <v>2.29</v>
      </c>
      <c r="E301" s="18">
        <v>2.29</v>
      </c>
      <c r="F301" s="70">
        <v>3.99</v>
      </c>
      <c r="G301" s="71">
        <v>2.99</v>
      </c>
    </row>
    <row r="302" spans="1:7" ht="13" x14ac:dyDescent="0.15">
      <c r="A302" s="390"/>
      <c r="B302" s="366"/>
      <c r="C302" s="46" t="s">
        <v>420</v>
      </c>
      <c r="D302" s="142">
        <v>3.49</v>
      </c>
      <c r="E302" s="18">
        <v>3.49</v>
      </c>
      <c r="F302" s="70">
        <v>3.99</v>
      </c>
      <c r="G302" s="71">
        <v>3.99</v>
      </c>
    </row>
    <row r="303" spans="1:7" ht="13" x14ac:dyDescent="0.15">
      <c r="A303" s="390"/>
      <c r="B303" s="365" t="s">
        <v>751</v>
      </c>
      <c r="C303" s="42" t="s">
        <v>428</v>
      </c>
      <c r="D303" s="142">
        <v>2.99</v>
      </c>
      <c r="E303" s="71">
        <v>2.99</v>
      </c>
      <c r="F303" s="70">
        <v>3.99</v>
      </c>
      <c r="G303" s="71">
        <v>3.99</v>
      </c>
    </row>
    <row r="304" spans="1:7" ht="13" x14ac:dyDescent="0.15">
      <c r="A304" s="390"/>
      <c r="B304" s="368"/>
      <c r="C304" s="42" t="s">
        <v>429</v>
      </c>
      <c r="D304" s="142">
        <v>2.99</v>
      </c>
      <c r="E304" s="71">
        <v>2.99</v>
      </c>
      <c r="F304" s="70">
        <v>3.99</v>
      </c>
      <c r="G304" s="71">
        <v>3.99</v>
      </c>
    </row>
    <row r="305" spans="1:7" ht="13" x14ac:dyDescent="0.15">
      <c r="A305" s="390"/>
      <c r="B305" s="366"/>
      <c r="C305" s="42" t="s">
        <v>430</v>
      </c>
      <c r="D305" s="142">
        <v>2.99</v>
      </c>
      <c r="E305" s="71">
        <v>2.99</v>
      </c>
      <c r="F305" s="70">
        <v>3.99</v>
      </c>
      <c r="G305" s="71">
        <v>3.99</v>
      </c>
    </row>
    <row r="306" spans="1:7" ht="13" x14ac:dyDescent="0.15">
      <c r="A306" s="390"/>
      <c r="B306" s="365" t="s">
        <v>435</v>
      </c>
      <c r="C306" s="42" t="s">
        <v>436</v>
      </c>
      <c r="D306" s="142">
        <v>2.99</v>
      </c>
      <c r="E306" s="71">
        <v>2.99</v>
      </c>
      <c r="F306" s="70">
        <v>3.99</v>
      </c>
      <c r="G306" s="71">
        <v>3.99</v>
      </c>
    </row>
    <row r="307" spans="1:7" ht="13" x14ac:dyDescent="0.15">
      <c r="A307" s="390"/>
      <c r="B307" s="368"/>
      <c r="C307" s="42" t="s">
        <v>437</v>
      </c>
      <c r="D307" s="142">
        <v>2.99</v>
      </c>
      <c r="E307" s="71">
        <v>2.99</v>
      </c>
      <c r="F307" s="70">
        <v>3.99</v>
      </c>
      <c r="G307" s="71">
        <v>3.99</v>
      </c>
    </row>
    <row r="308" spans="1:7" ht="13" x14ac:dyDescent="0.15">
      <c r="A308" s="390"/>
      <c r="B308" s="368"/>
      <c r="C308" s="42" t="s">
        <v>438</v>
      </c>
      <c r="D308" s="142">
        <v>2.99</v>
      </c>
      <c r="E308" s="71">
        <v>2.99</v>
      </c>
      <c r="F308" s="70">
        <v>3.99</v>
      </c>
      <c r="G308" s="71">
        <v>3.99</v>
      </c>
    </row>
    <row r="309" spans="1:7" ht="13" x14ac:dyDescent="0.15">
      <c r="A309" s="390"/>
      <c r="B309" s="366"/>
      <c r="C309" s="42" t="s">
        <v>439</v>
      </c>
      <c r="D309" s="142">
        <v>2.99</v>
      </c>
      <c r="E309" s="71">
        <v>2.99</v>
      </c>
      <c r="F309" s="70">
        <v>4.6900000000000004</v>
      </c>
      <c r="G309" s="71">
        <v>3.99</v>
      </c>
    </row>
    <row r="310" spans="1:7" ht="13" x14ac:dyDescent="0.15">
      <c r="A310" s="390"/>
      <c r="B310" s="365" t="s">
        <v>440</v>
      </c>
      <c r="C310" s="42" t="s">
        <v>752</v>
      </c>
      <c r="D310" s="142">
        <v>3.99</v>
      </c>
      <c r="E310" s="14">
        <v>3.99</v>
      </c>
      <c r="F310" s="70">
        <v>4.6900000000000004</v>
      </c>
      <c r="G310" s="71">
        <v>4.6900000000000004</v>
      </c>
    </row>
    <row r="311" spans="1:7" ht="13" x14ac:dyDescent="0.15">
      <c r="A311" s="390"/>
      <c r="B311" s="366"/>
      <c r="C311" s="42" t="s">
        <v>753</v>
      </c>
      <c r="D311" s="142">
        <v>3.99</v>
      </c>
      <c r="E311" s="18">
        <v>3.99</v>
      </c>
      <c r="F311" s="70">
        <v>3.19</v>
      </c>
      <c r="G311" s="71">
        <v>4.6900000000000004</v>
      </c>
    </row>
    <row r="312" spans="1:7" ht="13" x14ac:dyDescent="0.15">
      <c r="A312" s="390"/>
      <c r="B312" s="365" t="s">
        <v>443</v>
      </c>
      <c r="C312" s="42" t="s">
        <v>444</v>
      </c>
      <c r="D312" s="142">
        <v>2.79</v>
      </c>
      <c r="E312" s="14">
        <v>2.99</v>
      </c>
      <c r="F312" s="70">
        <v>3.19</v>
      </c>
      <c r="G312" s="14">
        <v>3.39</v>
      </c>
    </row>
    <row r="313" spans="1:7" ht="13" x14ac:dyDescent="0.15">
      <c r="A313" s="390"/>
      <c r="B313" s="366"/>
      <c r="C313" s="42" t="s">
        <v>445</v>
      </c>
      <c r="D313" s="142">
        <v>2.79</v>
      </c>
      <c r="E313" s="14">
        <v>2.99</v>
      </c>
      <c r="F313" s="70">
        <v>6.89</v>
      </c>
      <c r="G313" s="14">
        <v>3.39</v>
      </c>
    </row>
    <row r="314" spans="1:7" ht="13" x14ac:dyDescent="0.15">
      <c r="A314" s="390"/>
      <c r="B314" s="365" t="s">
        <v>446</v>
      </c>
      <c r="C314" s="42" t="s">
        <v>281</v>
      </c>
      <c r="D314" s="142">
        <v>5.99</v>
      </c>
      <c r="E314" s="71">
        <v>6.49</v>
      </c>
      <c r="F314" s="70">
        <v>6.89</v>
      </c>
      <c r="G314" s="71">
        <v>7.49</v>
      </c>
    </row>
    <row r="315" spans="1:7" ht="13" x14ac:dyDescent="0.15">
      <c r="A315" s="390"/>
      <c r="B315" s="368"/>
      <c r="C315" s="42" t="s">
        <v>447</v>
      </c>
      <c r="D315" s="142">
        <v>5.99</v>
      </c>
      <c r="E315" s="71">
        <v>6.49</v>
      </c>
      <c r="F315" s="70">
        <v>6.89</v>
      </c>
      <c r="G315" s="71">
        <v>7.49</v>
      </c>
    </row>
    <row r="316" spans="1:7" ht="13" x14ac:dyDescent="0.15">
      <c r="A316" s="390"/>
      <c r="B316" s="368"/>
      <c r="C316" s="42" t="s">
        <v>448</v>
      </c>
      <c r="D316" s="142">
        <v>5.99</v>
      </c>
      <c r="E316" s="71">
        <v>6.49</v>
      </c>
      <c r="F316" s="70">
        <v>6.89</v>
      </c>
      <c r="G316" s="71">
        <v>7.49</v>
      </c>
    </row>
    <row r="317" spans="1:7" ht="13" x14ac:dyDescent="0.15">
      <c r="A317" s="390"/>
      <c r="B317" s="368"/>
      <c r="C317" s="42" t="s">
        <v>449</v>
      </c>
      <c r="D317" s="142">
        <v>5.99</v>
      </c>
      <c r="E317" s="71">
        <v>6.49</v>
      </c>
      <c r="F317" s="70">
        <v>6.89</v>
      </c>
      <c r="G317" s="71">
        <v>7.49</v>
      </c>
    </row>
    <row r="318" spans="1:7" ht="13" x14ac:dyDescent="0.15">
      <c r="A318" s="390"/>
      <c r="B318" s="366"/>
      <c r="C318" s="42" t="s">
        <v>559</v>
      </c>
      <c r="D318" s="142">
        <v>5.99</v>
      </c>
      <c r="E318" s="71">
        <v>6.49</v>
      </c>
      <c r="F318" s="70">
        <v>3.99</v>
      </c>
      <c r="G318" s="71">
        <v>7.49</v>
      </c>
    </row>
    <row r="319" spans="1:7" ht="13" x14ac:dyDescent="0.15">
      <c r="A319" s="390"/>
      <c r="B319" s="365" t="s">
        <v>452</v>
      </c>
      <c r="C319" s="42" t="s">
        <v>281</v>
      </c>
      <c r="D319" s="142">
        <v>3.25</v>
      </c>
      <c r="E319" s="14">
        <v>3.49</v>
      </c>
      <c r="F319" s="70">
        <v>3.99</v>
      </c>
      <c r="G319" s="14">
        <v>3.99</v>
      </c>
    </row>
    <row r="320" spans="1:7" ht="13" x14ac:dyDescent="0.15">
      <c r="A320" s="390"/>
      <c r="B320" s="368"/>
      <c r="C320" s="42" t="s">
        <v>263</v>
      </c>
      <c r="D320" s="142">
        <v>3.25</v>
      </c>
      <c r="E320" s="14">
        <v>3.49</v>
      </c>
      <c r="F320" s="70">
        <v>3.99</v>
      </c>
      <c r="G320" s="14">
        <v>3.99</v>
      </c>
    </row>
    <row r="321" spans="1:7" ht="13" x14ac:dyDescent="0.15">
      <c r="A321" s="390"/>
      <c r="B321" s="366"/>
      <c r="C321" s="42" t="s">
        <v>310</v>
      </c>
      <c r="D321" s="142">
        <v>3.25</v>
      </c>
      <c r="E321" s="14">
        <v>3.49</v>
      </c>
      <c r="F321" s="70">
        <v>1.69</v>
      </c>
      <c r="G321" s="14">
        <v>3.99</v>
      </c>
    </row>
    <row r="322" spans="1:7" ht="13" x14ac:dyDescent="0.15">
      <c r="A322" s="390"/>
      <c r="B322" s="365" t="s">
        <v>454</v>
      </c>
      <c r="C322" s="42" t="s">
        <v>456</v>
      </c>
      <c r="D322" s="142">
        <v>1.29</v>
      </c>
      <c r="E322" s="71">
        <v>1.49</v>
      </c>
      <c r="F322" s="70">
        <v>2.29</v>
      </c>
      <c r="G322" s="71">
        <v>1.69</v>
      </c>
    </row>
    <row r="323" spans="1:7" ht="13" x14ac:dyDescent="0.15">
      <c r="A323" s="390"/>
      <c r="B323" s="368"/>
      <c r="C323" s="42" t="s">
        <v>457</v>
      </c>
      <c r="D323" s="142">
        <v>1.99</v>
      </c>
      <c r="E323" s="71">
        <v>1.99</v>
      </c>
      <c r="F323" s="70">
        <v>3.99</v>
      </c>
      <c r="G323" s="71">
        <v>2.29</v>
      </c>
    </row>
    <row r="324" spans="1:7" ht="13" x14ac:dyDescent="0.15">
      <c r="A324" s="390"/>
      <c r="B324" s="368"/>
      <c r="C324" s="42" t="s">
        <v>458</v>
      </c>
      <c r="D324" s="142">
        <v>3.49</v>
      </c>
      <c r="E324" s="71">
        <v>3.49</v>
      </c>
      <c r="F324" s="144">
        <v>3.99</v>
      </c>
      <c r="G324" s="71">
        <v>3.99</v>
      </c>
    </row>
    <row r="325" spans="1:7" ht="13" x14ac:dyDescent="0.15">
      <c r="A325" s="390"/>
      <c r="B325" s="378"/>
      <c r="C325" s="78" t="s">
        <v>459</v>
      </c>
      <c r="D325" s="155">
        <v>3.25</v>
      </c>
      <c r="E325" s="71">
        <v>3.25</v>
      </c>
      <c r="F325" s="161"/>
      <c r="G325" s="71">
        <v>3.99</v>
      </c>
    </row>
    <row r="326" spans="1:7" ht="13" x14ac:dyDescent="0.15">
      <c r="A326" s="390"/>
      <c r="B326" s="365" t="s">
        <v>754</v>
      </c>
      <c r="C326" s="63" t="s">
        <v>755</v>
      </c>
      <c r="D326" s="153">
        <v>17.95</v>
      </c>
      <c r="E326" s="71">
        <v>3.25</v>
      </c>
      <c r="F326" s="162">
        <v>39.99</v>
      </c>
      <c r="G326" s="71"/>
    </row>
    <row r="327" spans="1:7" ht="13" x14ac:dyDescent="0.15">
      <c r="A327" s="390"/>
      <c r="B327" s="368"/>
      <c r="C327" s="63" t="s">
        <v>756</v>
      </c>
      <c r="D327" s="153"/>
      <c r="E327" s="71">
        <v>3.25</v>
      </c>
      <c r="F327" s="163">
        <v>54.99</v>
      </c>
      <c r="G327" s="71"/>
    </row>
    <row r="328" spans="1:7" ht="13" x14ac:dyDescent="0.15">
      <c r="A328" s="390"/>
      <c r="B328" s="368"/>
      <c r="C328" s="63" t="s">
        <v>463</v>
      </c>
      <c r="D328" s="153">
        <v>5.75</v>
      </c>
      <c r="E328" s="71"/>
      <c r="F328" s="163">
        <v>69.989999999999995</v>
      </c>
      <c r="G328" s="71"/>
    </row>
    <row r="329" spans="1:7" ht="13" x14ac:dyDescent="0.15">
      <c r="A329" s="391"/>
      <c r="B329" s="366"/>
      <c r="C329" s="63" t="s">
        <v>464</v>
      </c>
      <c r="D329" s="153">
        <v>5.75</v>
      </c>
      <c r="E329" s="71"/>
      <c r="F329" s="163">
        <v>149.99</v>
      </c>
      <c r="G329" s="71"/>
    </row>
    <row r="330" spans="1:7" ht="16.5" customHeight="1" x14ac:dyDescent="0.15">
      <c r="A330" s="394" t="s">
        <v>467</v>
      </c>
      <c r="B330" s="398" t="s">
        <v>467</v>
      </c>
      <c r="C330" s="42" t="s">
        <v>757</v>
      </c>
      <c r="D330" s="164">
        <v>9.99</v>
      </c>
      <c r="E330" s="71">
        <v>9.99</v>
      </c>
      <c r="F330" s="163">
        <v>229.99</v>
      </c>
      <c r="G330" s="71">
        <v>9.99</v>
      </c>
    </row>
    <row r="331" spans="1:7" ht="16.5" customHeight="1" x14ac:dyDescent="0.15">
      <c r="A331" s="390"/>
      <c r="B331" s="390"/>
      <c r="C331" s="79" t="s">
        <v>469</v>
      </c>
      <c r="D331" s="165">
        <v>3.48</v>
      </c>
      <c r="E331" s="71">
        <v>3.48</v>
      </c>
      <c r="F331" s="163">
        <v>219.99</v>
      </c>
      <c r="G331" s="71">
        <v>3.48</v>
      </c>
    </row>
    <row r="332" spans="1:7" ht="16.5" customHeight="1" x14ac:dyDescent="0.15">
      <c r="A332" s="390"/>
      <c r="B332" s="390"/>
      <c r="C332" s="79" t="s">
        <v>470</v>
      </c>
      <c r="D332" s="165">
        <v>3.48</v>
      </c>
      <c r="E332" s="71">
        <v>3.48</v>
      </c>
      <c r="F332" s="163">
        <v>299.99</v>
      </c>
      <c r="G332" s="71">
        <v>3.48</v>
      </c>
    </row>
    <row r="333" spans="1:7" ht="16.5" customHeight="1" x14ac:dyDescent="0.15">
      <c r="A333" s="390"/>
      <c r="B333" s="390"/>
      <c r="C333" s="79" t="s">
        <v>471</v>
      </c>
      <c r="D333" s="165">
        <v>6.98</v>
      </c>
      <c r="E333" s="71">
        <v>6.98</v>
      </c>
      <c r="F333" s="163">
        <v>399.99</v>
      </c>
      <c r="G333" s="71">
        <v>6.98</v>
      </c>
    </row>
    <row r="334" spans="1:7" ht="16.5" customHeight="1" x14ac:dyDescent="0.15">
      <c r="A334" s="390"/>
      <c r="B334" s="390"/>
      <c r="C334" s="80" t="s">
        <v>472</v>
      </c>
      <c r="D334" s="166">
        <v>1.8</v>
      </c>
      <c r="E334" s="71">
        <v>1.8</v>
      </c>
      <c r="F334" s="163">
        <v>44.99</v>
      </c>
      <c r="G334" s="71">
        <v>1.8</v>
      </c>
    </row>
    <row r="335" spans="1:7" ht="13" x14ac:dyDescent="0.15">
      <c r="A335" s="167" t="s">
        <v>475</v>
      </c>
      <c r="B335" s="168" t="s">
        <v>476</v>
      </c>
      <c r="C335" s="169" t="s">
        <v>477</v>
      </c>
      <c r="D335" s="170">
        <v>35.99</v>
      </c>
      <c r="E335" s="171">
        <v>37.99</v>
      </c>
      <c r="F335" s="163">
        <v>89.99</v>
      </c>
      <c r="G335" s="171">
        <v>42.99</v>
      </c>
    </row>
    <row r="336" spans="1:7" ht="13" x14ac:dyDescent="0.15">
      <c r="A336" s="172" t="s">
        <v>478</v>
      </c>
      <c r="B336" s="173" t="s">
        <v>476</v>
      </c>
      <c r="C336" s="174" t="s">
        <v>479</v>
      </c>
      <c r="D336" s="175">
        <v>49.99</v>
      </c>
      <c r="E336" s="171">
        <v>54.99</v>
      </c>
      <c r="F336" s="163">
        <v>144.99</v>
      </c>
      <c r="G336" s="171">
        <v>56.99</v>
      </c>
    </row>
    <row r="337" spans="1:7" ht="13" x14ac:dyDescent="0.15">
      <c r="A337" s="172" t="s">
        <v>480</v>
      </c>
      <c r="B337" s="173" t="s">
        <v>476</v>
      </c>
      <c r="C337" s="174" t="s">
        <v>481</v>
      </c>
      <c r="D337" s="175">
        <v>59.99</v>
      </c>
      <c r="E337" s="171">
        <v>64.989999999999995</v>
      </c>
      <c r="F337" s="163">
        <v>144.99</v>
      </c>
      <c r="G337" s="171">
        <v>69.989999999999995</v>
      </c>
    </row>
    <row r="338" spans="1:7" ht="13" x14ac:dyDescent="0.15">
      <c r="A338" s="172" t="s">
        <v>482</v>
      </c>
      <c r="B338" s="173" t="s">
        <v>476</v>
      </c>
      <c r="C338" s="174" t="s">
        <v>483</v>
      </c>
      <c r="D338" s="175">
        <v>129.99</v>
      </c>
      <c r="E338" s="171">
        <v>129.99</v>
      </c>
      <c r="F338" s="163">
        <v>13.49</v>
      </c>
      <c r="G338" s="171">
        <v>149.99</v>
      </c>
    </row>
    <row r="339" spans="1:7" ht="13" x14ac:dyDescent="0.15">
      <c r="A339" s="172" t="s">
        <v>484</v>
      </c>
      <c r="B339" s="173" t="s">
        <v>476</v>
      </c>
      <c r="C339" s="174" t="s">
        <v>485</v>
      </c>
      <c r="D339" s="175">
        <v>199.99</v>
      </c>
      <c r="E339" s="171">
        <v>209.99</v>
      </c>
      <c r="F339" s="163">
        <v>12.49</v>
      </c>
      <c r="G339" s="171">
        <v>229.99</v>
      </c>
    </row>
    <row r="340" spans="1:7" ht="13" x14ac:dyDescent="0.15">
      <c r="A340" s="172" t="s">
        <v>486</v>
      </c>
      <c r="B340" s="173" t="s">
        <v>476</v>
      </c>
      <c r="C340" s="174" t="s">
        <v>487</v>
      </c>
      <c r="D340" s="175">
        <v>189.99</v>
      </c>
      <c r="E340" s="171">
        <v>189.99</v>
      </c>
      <c r="F340" s="163">
        <v>12.49</v>
      </c>
      <c r="G340" s="171">
        <v>209.99</v>
      </c>
    </row>
    <row r="341" spans="1:7" ht="13" x14ac:dyDescent="0.15">
      <c r="A341" s="172" t="s">
        <v>488</v>
      </c>
      <c r="B341" s="173" t="s">
        <v>476</v>
      </c>
      <c r="C341" s="174" t="s">
        <v>489</v>
      </c>
      <c r="D341" s="175">
        <v>259.99</v>
      </c>
      <c r="E341" s="171">
        <v>259.99</v>
      </c>
      <c r="F341" s="163">
        <v>13.49</v>
      </c>
      <c r="G341" s="171">
        <v>299.99</v>
      </c>
    </row>
    <row r="342" spans="1:7" ht="13" x14ac:dyDescent="0.15">
      <c r="A342" s="172" t="s">
        <v>490</v>
      </c>
      <c r="B342" s="173" t="s">
        <v>476</v>
      </c>
      <c r="C342" s="174" t="s">
        <v>491</v>
      </c>
      <c r="D342" s="175">
        <v>344.99</v>
      </c>
      <c r="E342" s="171">
        <v>344.99</v>
      </c>
      <c r="F342" s="176">
        <v>13.49</v>
      </c>
      <c r="G342" s="171">
        <v>399.99</v>
      </c>
    </row>
    <row r="343" spans="1:7" ht="13" x14ac:dyDescent="0.15">
      <c r="A343" s="172" t="s">
        <v>492</v>
      </c>
      <c r="B343" s="173" t="s">
        <v>493</v>
      </c>
      <c r="C343" s="174" t="s">
        <v>494</v>
      </c>
      <c r="D343" s="175">
        <v>38.99</v>
      </c>
      <c r="E343" s="171">
        <v>39.99</v>
      </c>
      <c r="F343" s="176">
        <v>13.49</v>
      </c>
      <c r="G343" s="171">
        <v>47.99</v>
      </c>
    </row>
    <row r="344" spans="1:7" ht="13" x14ac:dyDescent="0.15">
      <c r="A344" s="172" t="s">
        <v>495</v>
      </c>
      <c r="B344" s="173" t="s">
        <v>493</v>
      </c>
      <c r="C344" s="174" t="s">
        <v>496</v>
      </c>
      <c r="D344" s="175">
        <v>75.989999999999995</v>
      </c>
      <c r="E344" s="171">
        <v>77.989999999999995</v>
      </c>
      <c r="F344" s="176">
        <v>13.49</v>
      </c>
      <c r="G344" s="171">
        <v>89.99</v>
      </c>
    </row>
    <row r="345" spans="1:7" ht="13" x14ac:dyDescent="0.15">
      <c r="A345" s="172" t="s">
        <v>497</v>
      </c>
      <c r="B345" s="173" t="s">
        <v>493</v>
      </c>
      <c r="C345" s="174" t="s">
        <v>498</v>
      </c>
      <c r="D345" s="175">
        <v>124.99</v>
      </c>
      <c r="E345" s="171">
        <v>129.99</v>
      </c>
      <c r="F345" s="163">
        <v>12.49</v>
      </c>
      <c r="G345" s="171">
        <v>144.99</v>
      </c>
    </row>
    <row r="346" spans="1:7" ht="13" x14ac:dyDescent="0.15">
      <c r="A346" s="172" t="s">
        <v>499</v>
      </c>
      <c r="B346" s="173" t="s">
        <v>493</v>
      </c>
      <c r="C346" s="174" t="s">
        <v>500</v>
      </c>
      <c r="D346" s="175">
        <v>124.99</v>
      </c>
      <c r="E346" s="171">
        <v>129.99</v>
      </c>
      <c r="F346" s="163">
        <v>12.49</v>
      </c>
      <c r="G346" s="171">
        <v>144.99</v>
      </c>
    </row>
    <row r="347" spans="1:7" ht="13" x14ac:dyDescent="0.15">
      <c r="A347" s="422" t="s">
        <v>501</v>
      </c>
      <c r="B347" s="174" t="s">
        <v>502</v>
      </c>
      <c r="C347" s="174" t="s">
        <v>503</v>
      </c>
      <c r="D347" s="175">
        <v>11.99</v>
      </c>
      <c r="E347" s="171">
        <v>12.99</v>
      </c>
      <c r="F347" s="163">
        <v>12.49</v>
      </c>
      <c r="G347" s="171">
        <v>13.99</v>
      </c>
    </row>
    <row r="348" spans="1:7" ht="13" x14ac:dyDescent="0.15">
      <c r="A348" s="387"/>
      <c r="B348" s="174" t="s">
        <v>502</v>
      </c>
      <c r="C348" s="174" t="s">
        <v>504</v>
      </c>
      <c r="D348" s="175">
        <v>10.99</v>
      </c>
      <c r="E348" s="171">
        <v>11.99</v>
      </c>
      <c r="F348" s="163">
        <v>13.49</v>
      </c>
      <c r="G348" s="171">
        <v>12.99</v>
      </c>
    </row>
    <row r="349" spans="1:7" ht="13" x14ac:dyDescent="0.15">
      <c r="A349" s="387"/>
      <c r="B349" s="174" t="s">
        <v>502</v>
      </c>
      <c r="C349" s="174" t="s">
        <v>505</v>
      </c>
      <c r="D349" s="175">
        <v>10.99</v>
      </c>
      <c r="E349" s="171">
        <v>11.99</v>
      </c>
      <c r="F349" s="163">
        <v>12.49</v>
      </c>
      <c r="G349" s="171">
        <v>12.99</v>
      </c>
    </row>
    <row r="350" spans="1:7" ht="13" x14ac:dyDescent="0.15">
      <c r="A350" s="387"/>
      <c r="B350" s="174" t="s">
        <v>502</v>
      </c>
      <c r="C350" s="174" t="s">
        <v>506</v>
      </c>
      <c r="D350" s="175">
        <v>11.9</v>
      </c>
      <c r="E350" s="171">
        <v>12.49</v>
      </c>
      <c r="F350" s="163">
        <v>13.49</v>
      </c>
      <c r="G350" s="171">
        <v>13.99</v>
      </c>
    </row>
    <row r="351" spans="1:7" ht="13" x14ac:dyDescent="0.15">
      <c r="A351" s="387"/>
      <c r="B351" s="174" t="s">
        <v>502</v>
      </c>
      <c r="C351" s="177" t="s">
        <v>507</v>
      </c>
      <c r="D351" s="178">
        <v>11.9</v>
      </c>
      <c r="E351" s="179">
        <v>12.49</v>
      </c>
      <c r="F351" s="163">
        <v>19.489999999999998</v>
      </c>
      <c r="G351" s="179">
        <v>13.99</v>
      </c>
    </row>
    <row r="352" spans="1:7" ht="13" x14ac:dyDescent="0.15">
      <c r="A352" s="387"/>
      <c r="B352" s="174" t="s">
        <v>502</v>
      </c>
      <c r="C352" s="177" t="s">
        <v>17</v>
      </c>
      <c r="D352" s="178">
        <v>11.9</v>
      </c>
      <c r="E352" s="179">
        <v>12.49</v>
      </c>
      <c r="F352" s="163">
        <v>17.989999999999998</v>
      </c>
      <c r="G352" s="179">
        <v>13.99</v>
      </c>
    </row>
    <row r="353" spans="1:7" ht="13" x14ac:dyDescent="0.15">
      <c r="A353" s="387"/>
      <c r="B353" s="174" t="s">
        <v>502</v>
      </c>
      <c r="C353" s="177" t="s">
        <v>10</v>
      </c>
      <c r="D353" s="178">
        <v>11.9</v>
      </c>
      <c r="E353" s="179">
        <v>12.49</v>
      </c>
      <c r="F353" s="163">
        <v>22.99</v>
      </c>
      <c r="G353" s="179">
        <v>13.99</v>
      </c>
    </row>
    <row r="354" spans="1:7" ht="13" x14ac:dyDescent="0.15">
      <c r="A354" s="387"/>
      <c r="B354" s="174" t="s">
        <v>502</v>
      </c>
      <c r="C354" s="174" t="s">
        <v>508</v>
      </c>
      <c r="D354" s="175">
        <v>10.99</v>
      </c>
      <c r="E354" s="171">
        <v>11.99</v>
      </c>
      <c r="F354" s="163">
        <v>22.99</v>
      </c>
      <c r="G354" s="171">
        <v>12.99</v>
      </c>
    </row>
    <row r="355" spans="1:7" ht="13" x14ac:dyDescent="0.15">
      <c r="A355" s="387"/>
      <c r="B355" s="174" t="s">
        <v>502</v>
      </c>
      <c r="C355" s="174" t="s">
        <v>12</v>
      </c>
      <c r="D355" s="175"/>
      <c r="E355" s="171">
        <v>11.99</v>
      </c>
      <c r="F355" s="163">
        <v>11.49</v>
      </c>
      <c r="G355" s="171">
        <v>12.99</v>
      </c>
    </row>
    <row r="356" spans="1:7" ht="13" x14ac:dyDescent="0.15">
      <c r="A356" s="387"/>
      <c r="B356" s="174" t="s">
        <v>502</v>
      </c>
      <c r="C356" s="174" t="s">
        <v>509</v>
      </c>
      <c r="D356" s="175"/>
      <c r="E356" s="171">
        <v>11.99</v>
      </c>
      <c r="F356" s="180">
        <v>16.989999999999998</v>
      </c>
      <c r="G356" s="171">
        <v>12.99</v>
      </c>
    </row>
    <row r="357" spans="1:7" ht="13" x14ac:dyDescent="0.15">
      <c r="A357" s="387"/>
      <c r="B357" s="174" t="s">
        <v>502</v>
      </c>
      <c r="C357" s="174" t="s">
        <v>510</v>
      </c>
      <c r="D357" s="175">
        <v>11.9</v>
      </c>
      <c r="E357" s="171">
        <v>12.49</v>
      </c>
      <c r="F357" s="180">
        <v>19.489999999999998</v>
      </c>
      <c r="G357" s="171">
        <v>13.99</v>
      </c>
    </row>
    <row r="358" spans="1:7" ht="13" x14ac:dyDescent="0.15">
      <c r="A358" s="387"/>
      <c r="B358" s="174" t="s">
        <v>502</v>
      </c>
      <c r="C358" s="174" t="s">
        <v>511</v>
      </c>
      <c r="D358" s="175">
        <v>10.99</v>
      </c>
      <c r="E358" s="171">
        <v>11.99</v>
      </c>
      <c r="F358" s="180">
        <v>19.489999999999998</v>
      </c>
      <c r="G358" s="171">
        <v>12.99</v>
      </c>
    </row>
    <row r="359" spans="1:7" ht="13" x14ac:dyDescent="0.15">
      <c r="A359" s="387"/>
      <c r="B359" s="174" t="s">
        <v>502</v>
      </c>
      <c r="C359" s="174" t="s">
        <v>512</v>
      </c>
      <c r="D359" s="175">
        <v>11.9</v>
      </c>
      <c r="E359" s="171">
        <v>12.49</v>
      </c>
      <c r="F359" s="180">
        <v>19.489999999999998</v>
      </c>
      <c r="G359" s="171">
        <v>13.99</v>
      </c>
    </row>
    <row r="360" spans="1:7" ht="13" x14ac:dyDescent="0.15">
      <c r="A360" s="387"/>
      <c r="B360" s="174" t="s">
        <v>502</v>
      </c>
      <c r="C360" s="174" t="s">
        <v>514</v>
      </c>
      <c r="D360" s="175">
        <v>16.989999999999998</v>
      </c>
      <c r="E360" s="171">
        <v>18.489999999999998</v>
      </c>
      <c r="F360" s="180">
        <v>29.99</v>
      </c>
      <c r="G360" s="171">
        <v>19.989999999999998</v>
      </c>
    </row>
    <row r="361" spans="1:7" ht="13" x14ac:dyDescent="0.15">
      <c r="A361" s="387"/>
      <c r="B361" s="174" t="s">
        <v>502</v>
      </c>
      <c r="C361" s="174" t="s">
        <v>515</v>
      </c>
      <c r="D361" s="175">
        <v>16</v>
      </c>
      <c r="E361" s="171">
        <v>17.489999999999998</v>
      </c>
      <c r="F361" s="180">
        <v>29.99</v>
      </c>
      <c r="G361" s="171">
        <v>18.989999999999998</v>
      </c>
    </row>
    <row r="362" spans="1:7" ht="13" x14ac:dyDescent="0.15">
      <c r="A362" s="387"/>
      <c r="B362" s="174" t="s">
        <v>502</v>
      </c>
      <c r="C362" s="174" t="s">
        <v>758</v>
      </c>
      <c r="D362" s="175">
        <v>19.989999999999998</v>
      </c>
      <c r="E362" s="171">
        <v>19.989999999999998</v>
      </c>
      <c r="F362" s="180">
        <v>21.99</v>
      </c>
      <c r="G362" s="171">
        <v>22.99</v>
      </c>
    </row>
    <row r="363" spans="1:7" ht="13" x14ac:dyDescent="0.15">
      <c r="A363" s="387"/>
      <c r="B363" s="174" t="s">
        <v>502</v>
      </c>
      <c r="C363" s="174" t="s">
        <v>759</v>
      </c>
      <c r="D363" s="175">
        <v>19.989999999999998</v>
      </c>
      <c r="E363" s="171">
        <v>19.989999999999998</v>
      </c>
      <c r="F363" s="180">
        <v>21.99</v>
      </c>
      <c r="G363" s="171">
        <v>22.99</v>
      </c>
    </row>
    <row r="364" spans="1:7" ht="13" x14ac:dyDescent="0.15">
      <c r="A364" s="387"/>
      <c r="B364" s="174" t="s">
        <v>519</v>
      </c>
      <c r="C364" s="174" t="s">
        <v>79</v>
      </c>
      <c r="D364" s="175">
        <v>9.99</v>
      </c>
      <c r="E364" s="171">
        <v>10.49</v>
      </c>
      <c r="F364" s="181">
        <v>0</v>
      </c>
      <c r="G364" s="171">
        <v>11.99</v>
      </c>
    </row>
    <row r="365" spans="1:7" ht="13" x14ac:dyDescent="0.15">
      <c r="A365" s="387"/>
      <c r="B365" s="174" t="s">
        <v>519</v>
      </c>
      <c r="C365" s="174" t="s">
        <v>522</v>
      </c>
      <c r="D365" s="182">
        <v>14.99</v>
      </c>
      <c r="E365" s="171">
        <v>15.49</v>
      </c>
      <c r="F365" s="180">
        <v>13.99</v>
      </c>
      <c r="G365" s="171">
        <v>16.989999999999998</v>
      </c>
    </row>
    <row r="366" spans="1:7" ht="13" x14ac:dyDescent="0.15">
      <c r="A366" s="387"/>
      <c r="B366" s="174" t="s">
        <v>27</v>
      </c>
      <c r="C366" s="174" t="s">
        <v>18</v>
      </c>
      <c r="D366" s="182">
        <v>16.989999999999998</v>
      </c>
      <c r="E366" s="171">
        <v>17.989999999999998</v>
      </c>
      <c r="F366" s="180">
        <v>18.29</v>
      </c>
      <c r="G366" s="171">
        <v>19.989999999999998</v>
      </c>
    </row>
    <row r="367" spans="1:7" ht="13" x14ac:dyDescent="0.15">
      <c r="A367" s="387"/>
      <c r="B367" s="174" t="s">
        <v>27</v>
      </c>
      <c r="C367" s="174" t="s">
        <v>57</v>
      </c>
      <c r="D367" s="182">
        <v>16.989999999999998</v>
      </c>
      <c r="E367" s="171">
        <v>17.989999999999998</v>
      </c>
      <c r="F367" s="180">
        <v>20.99</v>
      </c>
      <c r="G367" s="171">
        <v>19.989999999999998</v>
      </c>
    </row>
    <row r="368" spans="1:7" ht="13" x14ac:dyDescent="0.15">
      <c r="A368" s="387"/>
      <c r="B368" s="174" t="s">
        <v>27</v>
      </c>
      <c r="C368" s="174" t="s">
        <v>8</v>
      </c>
      <c r="D368" s="182">
        <v>16.989999999999998</v>
      </c>
      <c r="E368" s="171">
        <v>17.989999999999998</v>
      </c>
      <c r="F368" s="180">
        <v>20.99</v>
      </c>
      <c r="G368" s="171">
        <v>19.989999999999998</v>
      </c>
    </row>
    <row r="369" spans="1:7" ht="13" x14ac:dyDescent="0.15">
      <c r="A369" s="387"/>
      <c r="B369" s="174" t="s">
        <v>524</v>
      </c>
      <c r="C369" s="174" t="s">
        <v>18</v>
      </c>
      <c r="D369" s="182">
        <v>24.99</v>
      </c>
      <c r="E369" s="171">
        <v>24.99</v>
      </c>
      <c r="F369" s="180">
        <v>32.99</v>
      </c>
      <c r="G369" s="171">
        <v>29.99</v>
      </c>
    </row>
    <row r="370" spans="1:7" ht="13" x14ac:dyDescent="0.15">
      <c r="A370" s="387"/>
      <c r="B370" s="174" t="s">
        <v>524</v>
      </c>
      <c r="C370" s="174" t="s">
        <v>37</v>
      </c>
      <c r="D370" s="182">
        <v>24.99</v>
      </c>
      <c r="E370" s="171">
        <v>24.99</v>
      </c>
      <c r="F370" s="180">
        <v>32.99</v>
      </c>
      <c r="G370" s="171">
        <v>29.99</v>
      </c>
    </row>
    <row r="371" spans="1:7" ht="13" x14ac:dyDescent="0.15">
      <c r="A371" s="387"/>
      <c r="B371" s="174" t="s">
        <v>525</v>
      </c>
      <c r="C371" s="174" t="s">
        <v>760</v>
      </c>
      <c r="D371" s="182">
        <v>18.989999999999998</v>
      </c>
      <c r="E371" s="171">
        <v>19.989999999999998</v>
      </c>
      <c r="F371" s="180">
        <v>14.99</v>
      </c>
      <c r="G371" s="171">
        <v>22.99</v>
      </c>
    </row>
    <row r="372" spans="1:7" ht="13" x14ac:dyDescent="0.15">
      <c r="A372" s="387"/>
      <c r="B372" s="174" t="s">
        <v>525</v>
      </c>
      <c r="C372" s="174" t="s">
        <v>20</v>
      </c>
      <c r="D372" s="182">
        <v>18.989999999999998</v>
      </c>
      <c r="E372" s="171">
        <v>19.989999999999998</v>
      </c>
      <c r="F372" s="180">
        <v>12.69</v>
      </c>
      <c r="G372" s="171">
        <v>22.99</v>
      </c>
    </row>
    <row r="373" spans="1:7" ht="13" x14ac:dyDescent="0.15">
      <c r="A373" s="387"/>
      <c r="B373" s="174" t="s">
        <v>526</v>
      </c>
      <c r="C373" s="174" t="s">
        <v>527</v>
      </c>
      <c r="D373" s="182">
        <v>15.99</v>
      </c>
      <c r="E373" s="171">
        <v>17.989999999999998</v>
      </c>
      <c r="F373" s="180">
        <v>18.29</v>
      </c>
      <c r="G373" s="171">
        <v>18.989999999999998</v>
      </c>
    </row>
    <row r="374" spans="1:7" ht="13" x14ac:dyDescent="0.15">
      <c r="A374" s="387"/>
      <c r="B374" s="174" t="s">
        <v>528</v>
      </c>
      <c r="C374" s="174" t="s">
        <v>529</v>
      </c>
      <c r="D374" s="182">
        <v>11.99</v>
      </c>
      <c r="E374" s="171">
        <v>11.99</v>
      </c>
      <c r="F374" s="180">
        <v>16.989999999999998</v>
      </c>
      <c r="G374" s="171">
        <v>13.99</v>
      </c>
    </row>
    <row r="375" spans="1:7" ht="13" x14ac:dyDescent="0.15">
      <c r="A375" s="387"/>
      <c r="B375" s="174" t="s">
        <v>528</v>
      </c>
      <c r="C375" s="174" t="s">
        <v>530</v>
      </c>
      <c r="D375" s="182">
        <v>15.99</v>
      </c>
      <c r="E375" s="171">
        <v>16.489999999999998</v>
      </c>
      <c r="F375" s="180">
        <v>32.99</v>
      </c>
      <c r="G375" s="171">
        <v>18.989999999999998</v>
      </c>
    </row>
    <row r="376" spans="1:7" ht="13" x14ac:dyDescent="0.15">
      <c r="A376" s="387"/>
      <c r="B376" s="174" t="s">
        <v>531</v>
      </c>
      <c r="C376" s="174" t="s">
        <v>36</v>
      </c>
      <c r="D376" s="182">
        <v>18.989999999999998</v>
      </c>
      <c r="E376" s="171">
        <v>19.989999999999998</v>
      </c>
      <c r="F376" s="180">
        <v>19.989999999999998</v>
      </c>
      <c r="G376" s="171">
        <v>21.99</v>
      </c>
    </row>
    <row r="377" spans="1:7" ht="13" x14ac:dyDescent="0.15">
      <c r="A377" s="387"/>
      <c r="B377" s="174" t="s">
        <v>531</v>
      </c>
      <c r="C377" s="174" t="s">
        <v>10</v>
      </c>
      <c r="D377" s="182">
        <v>18.989999999999998</v>
      </c>
      <c r="E377" s="171">
        <v>19.989999999999998</v>
      </c>
      <c r="F377" s="180">
        <v>19.989999999999998</v>
      </c>
      <c r="G377" s="171">
        <v>21.99</v>
      </c>
    </row>
    <row r="378" spans="1:7" ht="13" x14ac:dyDescent="0.15">
      <c r="A378" s="387"/>
      <c r="B378" s="174" t="s">
        <v>532</v>
      </c>
      <c r="C378" s="174" t="s">
        <v>194</v>
      </c>
      <c r="D378" s="182">
        <v>28.99</v>
      </c>
      <c r="E378" s="171">
        <v>29.99</v>
      </c>
      <c r="F378" s="180">
        <v>32.99</v>
      </c>
      <c r="G378" s="171">
        <v>34.99</v>
      </c>
    </row>
    <row r="379" spans="1:7" ht="13" x14ac:dyDescent="0.15">
      <c r="A379" s="387"/>
      <c r="B379" s="174" t="s">
        <v>532</v>
      </c>
      <c r="C379" s="174" t="s">
        <v>159</v>
      </c>
      <c r="D379" s="182">
        <v>28.99</v>
      </c>
      <c r="E379" s="171">
        <v>29.99</v>
      </c>
      <c r="F379" s="180">
        <v>22.99</v>
      </c>
      <c r="G379" s="171">
        <v>34.99</v>
      </c>
    </row>
    <row r="380" spans="1:7" ht="13" x14ac:dyDescent="0.15">
      <c r="A380" s="387"/>
      <c r="B380" s="174" t="s">
        <v>532</v>
      </c>
      <c r="C380" s="174" t="s">
        <v>534</v>
      </c>
      <c r="D380" s="182">
        <v>12.99</v>
      </c>
      <c r="E380" s="171">
        <v>13.49</v>
      </c>
      <c r="F380" s="180">
        <v>22.99</v>
      </c>
      <c r="G380" s="171">
        <v>14.99</v>
      </c>
    </row>
    <row r="381" spans="1:7" ht="13" x14ac:dyDescent="0.15">
      <c r="A381" s="387"/>
      <c r="B381" s="174" t="s">
        <v>532</v>
      </c>
      <c r="C381" s="174" t="s">
        <v>535</v>
      </c>
      <c r="D381" s="182">
        <v>10.99</v>
      </c>
      <c r="E381" s="171">
        <v>10.99</v>
      </c>
      <c r="F381" s="180">
        <v>32.99</v>
      </c>
      <c r="G381" s="171">
        <v>12.69</v>
      </c>
    </row>
    <row r="382" spans="1:7" ht="13" x14ac:dyDescent="0.15">
      <c r="A382" s="387"/>
      <c r="B382" s="174" t="s">
        <v>532</v>
      </c>
      <c r="C382" s="174" t="s">
        <v>536</v>
      </c>
      <c r="D382" s="182">
        <v>16</v>
      </c>
      <c r="E382" s="171">
        <v>16.989999999999998</v>
      </c>
      <c r="F382" s="180">
        <v>32.99</v>
      </c>
      <c r="G382" s="171">
        <v>18.989999999999998</v>
      </c>
    </row>
    <row r="383" spans="1:7" ht="13" x14ac:dyDescent="0.15">
      <c r="A383" s="387"/>
      <c r="B383" s="174" t="s">
        <v>532</v>
      </c>
      <c r="C383" s="174" t="s">
        <v>537</v>
      </c>
      <c r="D383" s="182">
        <v>14.99</v>
      </c>
      <c r="E383" s="171">
        <v>14.99</v>
      </c>
      <c r="F383" s="180">
        <v>26.99</v>
      </c>
      <c r="G383" s="171">
        <v>16.989999999999998</v>
      </c>
    </row>
    <row r="384" spans="1:7" ht="13" x14ac:dyDescent="0.15">
      <c r="A384" s="387"/>
      <c r="B384" s="174" t="s">
        <v>532</v>
      </c>
      <c r="C384" s="174" t="s">
        <v>538</v>
      </c>
      <c r="D384" s="182">
        <v>28.99</v>
      </c>
      <c r="E384" s="171">
        <v>29.99</v>
      </c>
      <c r="F384" s="180">
        <v>11.99</v>
      </c>
      <c r="G384" s="171">
        <v>34.99</v>
      </c>
    </row>
    <row r="385" spans="1:7" ht="13" x14ac:dyDescent="0.15">
      <c r="A385" s="387"/>
      <c r="B385" s="174" t="s">
        <v>532</v>
      </c>
      <c r="C385" s="174" t="s">
        <v>180</v>
      </c>
      <c r="D385" s="182">
        <v>17.5</v>
      </c>
      <c r="E385" s="171">
        <v>18.989999999999998</v>
      </c>
      <c r="F385" s="180">
        <v>19.489999999999998</v>
      </c>
      <c r="G385" s="171">
        <v>19.989999999999998</v>
      </c>
    </row>
    <row r="386" spans="1:7" ht="13" x14ac:dyDescent="0.15">
      <c r="A386" s="387"/>
      <c r="B386" s="174" t="s">
        <v>532</v>
      </c>
      <c r="C386" s="174" t="s">
        <v>540</v>
      </c>
      <c r="D386" s="182">
        <v>17.5</v>
      </c>
      <c r="E386" s="171">
        <v>18.989999999999998</v>
      </c>
      <c r="F386" s="180">
        <v>27.99</v>
      </c>
      <c r="G386" s="171">
        <v>19.989999999999998</v>
      </c>
    </row>
    <row r="387" spans="1:7" ht="13" x14ac:dyDescent="0.15">
      <c r="A387" s="387"/>
      <c r="B387" s="174" t="s">
        <v>532</v>
      </c>
      <c r="C387" s="174" t="s">
        <v>761</v>
      </c>
      <c r="D387" s="182">
        <v>28.99</v>
      </c>
      <c r="E387" s="171">
        <v>29.99</v>
      </c>
      <c r="F387" s="180">
        <v>22.99</v>
      </c>
      <c r="G387" s="171">
        <v>34.99</v>
      </c>
    </row>
    <row r="388" spans="1:7" ht="13" x14ac:dyDescent="0.15">
      <c r="A388" s="387"/>
      <c r="B388" s="174" t="s">
        <v>532</v>
      </c>
      <c r="C388" s="174" t="s">
        <v>542</v>
      </c>
      <c r="D388" s="182">
        <v>19.989999999999998</v>
      </c>
      <c r="E388" s="171">
        <v>24.99</v>
      </c>
      <c r="F388" s="180">
        <v>17.989999999999998</v>
      </c>
      <c r="G388" s="171">
        <v>29.99</v>
      </c>
    </row>
    <row r="389" spans="1:7" ht="13" x14ac:dyDescent="0.15">
      <c r="A389" s="387"/>
      <c r="B389" s="174" t="s">
        <v>532</v>
      </c>
      <c r="C389" s="174" t="s">
        <v>543</v>
      </c>
      <c r="D389" s="182">
        <v>19.989999999999998</v>
      </c>
      <c r="E389" s="171">
        <v>24.99</v>
      </c>
      <c r="F389" s="183">
        <v>15.99</v>
      </c>
      <c r="G389" s="171">
        <v>29.99</v>
      </c>
    </row>
    <row r="390" spans="1:7" ht="13" x14ac:dyDescent="0.15">
      <c r="A390" s="387"/>
      <c r="B390" s="174" t="s">
        <v>532</v>
      </c>
      <c r="C390" s="174" t="s">
        <v>544</v>
      </c>
      <c r="D390" s="182">
        <v>28.99</v>
      </c>
      <c r="E390" s="171">
        <v>29.99</v>
      </c>
      <c r="F390" s="183">
        <v>16.989999999999998</v>
      </c>
      <c r="G390" s="171">
        <v>34.99</v>
      </c>
    </row>
    <row r="391" spans="1:7" ht="13" x14ac:dyDescent="0.15">
      <c r="A391" s="387"/>
      <c r="B391" s="174" t="s">
        <v>545</v>
      </c>
      <c r="C391" s="174" t="s">
        <v>58</v>
      </c>
      <c r="D391" s="182">
        <v>23.99</v>
      </c>
      <c r="E391" s="171">
        <v>24.99</v>
      </c>
      <c r="F391" s="183">
        <v>27.99</v>
      </c>
      <c r="G391" s="171">
        <v>27.99</v>
      </c>
    </row>
    <row r="392" spans="1:7" ht="13" x14ac:dyDescent="0.15">
      <c r="A392" s="387"/>
      <c r="B392" s="174" t="s">
        <v>546</v>
      </c>
      <c r="C392" s="174" t="s">
        <v>547</v>
      </c>
      <c r="D392" s="182">
        <v>10.99</v>
      </c>
      <c r="E392" s="171">
        <v>10.99</v>
      </c>
      <c r="F392" s="183">
        <v>19.489999999999998</v>
      </c>
      <c r="G392" s="171">
        <v>11.99</v>
      </c>
    </row>
    <row r="393" spans="1:7" ht="13" x14ac:dyDescent="0.15">
      <c r="A393" s="387"/>
      <c r="B393" s="174" t="s">
        <v>546</v>
      </c>
      <c r="C393" s="174" t="s">
        <v>762</v>
      </c>
      <c r="D393" s="182">
        <v>17</v>
      </c>
      <c r="E393" s="171">
        <v>17</v>
      </c>
      <c r="F393" s="183">
        <v>8.99</v>
      </c>
      <c r="G393" s="171">
        <v>19.489999999999998</v>
      </c>
    </row>
    <row r="394" spans="1:7" ht="13" x14ac:dyDescent="0.15">
      <c r="A394" s="387"/>
      <c r="B394" s="174" t="s">
        <v>546</v>
      </c>
      <c r="C394" s="174" t="s">
        <v>549</v>
      </c>
      <c r="D394" s="182">
        <v>23.99</v>
      </c>
      <c r="E394" s="171">
        <v>25.99</v>
      </c>
      <c r="F394" s="183">
        <v>8.99</v>
      </c>
      <c r="G394" s="171">
        <v>29.99</v>
      </c>
    </row>
    <row r="395" spans="1:7" ht="13" x14ac:dyDescent="0.15">
      <c r="A395" s="387"/>
      <c r="B395" s="174" t="s">
        <v>550</v>
      </c>
      <c r="C395" s="174" t="s">
        <v>551</v>
      </c>
      <c r="D395" s="182">
        <v>19.989999999999998</v>
      </c>
      <c r="E395" s="171">
        <v>19.989999999999998</v>
      </c>
      <c r="F395" s="180">
        <v>6.9</v>
      </c>
      <c r="G395" s="171">
        <v>22.99</v>
      </c>
    </row>
    <row r="396" spans="1:7" ht="13" x14ac:dyDescent="0.15">
      <c r="A396" s="387"/>
      <c r="B396" s="174" t="s">
        <v>550</v>
      </c>
      <c r="C396" s="174" t="s">
        <v>552</v>
      </c>
      <c r="D396" s="182">
        <v>16</v>
      </c>
      <c r="E396" s="171">
        <v>17.489999999999998</v>
      </c>
      <c r="F396" s="180">
        <v>24.99</v>
      </c>
      <c r="G396" s="171">
        <v>19.989999999999998</v>
      </c>
    </row>
    <row r="397" spans="1:7" ht="13" x14ac:dyDescent="0.15">
      <c r="A397" s="387"/>
      <c r="B397" s="174" t="s">
        <v>550</v>
      </c>
      <c r="C397" s="177" t="s">
        <v>553</v>
      </c>
      <c r="D397" s="184">
        <v>13.99</v>
      </c>
      <c r="E397" s="179">
        <v>14.99</v>
      </c>
      <c r="F397" s="180">
        <v>32.99</v>
      </c>
      <c r="G397" s="179">
        <v>16.989999999999998</v>
      </c>
    </row>
    <row r="398" spans="1:7" ht="13" x14ac:dyDescent="0.15">
      <c r="A398" s="387"/>
      <c r="B398" s="174" t="s">
        <v>550</v>
      </c>
      <c r="C398" s="177" t="s">
        <v>554</v>
      </c>
      <c r="D398" s="184">
        <v>15</v>
      </c>
      <c r="E398" s="179">
        <v>15.99</v>
      </c>
      <c r="F398" s="180">
        <v>59.99</v>
      </c>
      <c r="G398" s="179">
        <v>17.489999999999998</v>
      </c>
    </row>
    <row r="399" spans="1:7" ht="13" x14ac:dyDescent="0.15">
      <c r="A399" s="387"/>
      <c r="B399" s="174" t="s">
        <v>555</v>
      </c>
      <c r="C399" s="177" t="s">
        <v>556</v>
      </c>
      <c r="D399" s="184">
        <v>24.99</v>
      </c>
      <c r="E399" s="179">
        <v>24.99</v>
      </c>
      <c r="F399" s="180">
        <v>84.99</v>
      </c>
      <c r="G399" s="179">
        <v>27.99</v>
      </c>
    </row>
    <row r="400" spans="1:7" ht="13" x14ac:dyDescent="0.15">
      <c r="A400" s="387"/>
      <c r="B400" s="174" t="s">
        <v>563</v>
      </c>
      <c r="C400" s="177" t="s">
        <v>564</v>
      </c>
      <c r="D400" s="184">
        <v>16.989999999999998</v>
      </c>
      <c r="E400" s="179">
        <v>18.989999999999998</v>
      </c>
      <c r="F400" s="180">
        <v>114.99</v>
      </c>
      <c r="G400" s="179">
        <v>19.989999999999998</v>
      </c>
    </row>
    <row r="401" spans="1:7" ht="13" x14ac:dyDescent="0.15">
      <c r="A401" s="387"/>
      <c r="B401" s="174" t="s">
        <v>565</v>
      </c>
      <c r="C401" s="174" t="s">
        <v>566</v>
      </c>
      <c r="D401" s="184">
        <v>7.99</v>
      </c>
      <c r="E401" s="179">
        <v>7.99</v>
      </c>
      <c r="F401" s="183">
        <v>34.99</v>
      </c>
      <c r="G401" s="179">
        <v>8.99</v>
      </c>
    </row>
    <row r="402" spans="1:7" ht="13" x14ac:dyDescent="0.15">
      <c r="A402" s="387"/>
      <c r="B402" s="174" t="s">
        <v>565</v>
      </c>
      <c r="C402" s="174" t="s">
        <v>763</v>
      </c>
      <c r="D402" s="184"/>
      <c r="E402" s="179">
        <v>4.99</v>
      </c>
      <c r="F402" s="183">
        <v>49.99</v>
      </c>
      <c r="G402" s="179">
        <v>5.39</v>
      </c>
    </row>
    <row r="403" spans="1:7" ht="13" x14ac:dyDescent="0.15">
      <c r="A403" s="387"/>
      <c r="B403" s="174" t="s">
        <v>565</v>
      </c>
      <c r="C403" s="174" t="s">
        <v>764</v>
      </c>
      <c r="D403" s="184">
        <v>7.99</v>
      </c>
      <c r="E403" s="179">
        <v>7.99</v>
      </c>
      <c r="F403" s="183">
        <v>94.99</v>
      </c>
      <c r="G403" s="179">
        <v>8.99</v>
      </c>
    </row>
    <row r="404" spans="1:7" ht="13" x14ac:dyDescent="0.15">
      <c r="A404" s="387"/>
      <c r="B404" s="174" t="s">
        <v>565</v>
      </c>
      <c r="C404" s="174" t="s">
        <v>765</v>
      </c>
      <c r="D404" s="184"/>
      <c r="E404" s="179">
        <v>4.99</v>
      </c>
      <c r="F404" s="183">
        <v>134.99</v>
      </c>
      <c r="G404" s="179">
        <v>5.39</v>
      </c>
    </row>
    <row r="405" spans="1:7" ht="13" x14ac:dyDescent="0.15">
      <c r="A405" s="387"/>
      <c r="B405" s="174" t="s">
        <v>565</v>
      </c>
      <c r="C405" s="174" t="s">
        <v>570</v>
      </c>
      <c r="D405" s="184"/>
      <c r="E405" s="179">
        <v>48</v>
      </c>
      <c r="F405" s="183">
        <v>184.99</v>
      </c>
      <c r="G405" s="179">
        <v>48</v>
      </c>
    </row>
    <row r="406" spans="1:7" ht="13" x14ac:dyDescent="0.15">
      <c r="A406" s="387"/>
      <c r="B406" s="174" t="s">
        <v>565</v>
      </c>
      <c r="C406" s="174" t="s">
        <v>571</v>
      </c>
      <c r="D406" s="184"/>
      <c r="E406" s="179">
        <v>80</v>
      </c>
      <c r="F406" s="183">
        <v>39.99</v>
      </c>
      <c r="G406" s="179">
        <v>80</v>
      </c>
    </row>
    <row r="407" spans="1:7" ht="13" x14ac:dyDescent="0.15">
      <c r="A407" s="388"/>
      <c r="B407" s="174" t="s">
        <v>565</v>
      </c>
      <c r="C407" s="174" t="s">
        <v>766</v>
      </c>
      <c r="D407" s="182">
        <v>6</v>
      </c>
      <c r="E407" s="171">
        <v>6.49</v>
      </c>
      <c r="F407" s="183">
        <v>59.99</v>
      </c>
      <c r="G407" s="171">
        <v>7.49</v>
      </c>
    </row>
    <row r="408" spans="1:7" ht="13" x14ac:dyDescent="0.15">
      <c r="A408" s="422" t="s">
        <v>573</v>
      </c>
      <c r="B408" s="174" t="s">
        <v>574</v>
      </c>
      <c r="C408" s="174" t="s">
        <v>575</v>
      </c>
      <c r="D408" s="182">
        <v>21</v>
      </c>
      <c r="E408" s="171">
        <v>22.5</v>
      </c>
      <c r="F408" s="183">
        <v>32.99</v>
      </c>
      <c r="G408" s="171">
        <v>25.49</v>
      </c>
    </row>
    <row r="409" spans="1:7" ht="13" x14ac:dyDescent="0.15">
      <c r="A409" s="387"/>
      <c r="B409" s="174" t="s">
        <v>574</v>
      </c>
      <c r="C409" s="174" t="s">
        <v>576</v>
      </c>
      <c r="D409" s="182">
        <v>28</v>
      </c>
      <c r="E409" s="171">
        <v>29.99</v>
      </c>
      <c r="F409" s="183">
        <v>39.99</v>
      </c>
      <c r="G409" s="171">
        <v>34.99</v>
      </c>
    </row>
    <row r="410" spans="1:7" ht="13" x14ac:dyDescent="0.15">
      <c r="A410" s="387"/>
      <c r="B410" s="174" t="s">
        <v>574</v>
      </c>
      <c r="C410" s="174" t="s">
        <v>577</v>
      </c>
      <c r="D410" s="182">
        <v>52</v>
      </c>
      <c r="E410" s="171">
        <v>54.99</v>
      </c>
      <c r="F410" s="180">
        <v>39.99</v>
      </c>
      <c r="G410" s="171">
        <v>64.989999999999995</v>
      </c>
    </row>
    <row r="411" spans="1:7" ht="13" x14ac:dyDescent="0.15">
      <c r="A411" s="387"/>
      <c r="B411" s="174" t="s">
        <v>574</v>
      </c>
      <c r="C411" s="174" t="s">
        <v>578</v>
      </c>
      <c r="D411" s="182">
        <v>74</v>
      </c>
      <c r="E411" s="171">
        <v>75</v>
      </c>
      <c r="F411" s="180">
        <v>64.989999999999995</v>
      </c>
      <c r="G411" s="171">
        <v>86.99</v>
      </c>
    </row>
    <row r="412" spans="1:7" ht="13" x14ac:dyDescent="0.15">
      <c r="A412" s="387"/>
      <c r="B412" s="174" t="s">
        <v>574</v>
      </c>
      <c r="C412" s="174" t="s">
        <v>579</v>
      </c>
      <c r="D412" s="182">
        <v>99.99</v>
      </c>
      <c r="E412" s="171">
        <v>99.99</v>
      </c>
      <c r="F412" s="180">
        <v>114.99</v>
      </c>
      <c r="G412" s="171">
        <v>114.99</v>
      </c>
    </row>
    <row r="413" spans="1:7" ht="13" x14ac:dyDescent="0.15">
      <c r="A413" s="387"/>
      <c r="B413" s="174" t="s">
        <v>580</v>
      </c>
      <c r="C413" s="174" t="s">
        <v>581</v>
      </c>
      <c r="D413" s="184">
        <v>29.99</v>
      </c>
      <c r="E413" s="179">
        <v>32.99</v>
      </c>
      <c r="F413" s="180">
        <v>184.99</v>
      </c>
      <c r="G413" s="179">
        <v>37.99</v>
      </c>
    </row>
    <row r="414" spans="1:7" ht="13" x14ac:dyDescent="0.15">
      <c r="A414" s="387"/>
      <c r="B414" s="174" t="s">
        <v>580</v>
      </c>
      <c r="C414" s="174" t="s">
        <v>582</v>
      </c>
      <c r="D414" s="184">
        <v>44.99</v>
      </c>
      <c r="E414" s="179">
        <v>46.99</v>
      </c>
      <c r="F414" s="180">
        <v>229.99</v>
      </c>
      <c r="G414" s="179">
        <v>54.99</v>
      </c>
    </row>
    <row r="415" spans="1:7" ht="13" x14ac:dyDescent="0.15">
      <c r="A415" s="387"/>
      <c r="B415" s="174" t="s">
        <v>580</v>
      </c>
      <c r="C415" s="174" t="s">
        <v>583</v>
      </c>
      <c r="D415" s="184">
        <v>84.99</v>
      </c>
      <c r="E415" s="179">
        <v>89.99</v>
      </c>
      <c r="F415" s="180">
        <v>39.99</v>
      </c>
      <c r="G415" s="179">
        <v>99.99</v>
      </c>
    </row>
    <row r="416" spans="1:7" ht="13" x14ac:dyDescent="0.15">
      <c r="A416" s="387"/>
      <c r="B416" s="174" t="s">
        <v>580</v>
      </c>
      <c r="C416" s="174" t="s">
        <v>584</v>
      </c>
      <c r="D416" s="184">
        <v>124.99</v>
      </c>
      <c r="E416" s="179">
        <v>129.99</v>
      </c>
      <c r="F416" s="180">
        <v>39.99</v>
      </c>
      <c r="G416" s="179">
        <v>139.99</v>
      </c>
    </row>
    <row r="417" spans="1:7" ht="13" x14ac:dyDescent="0.15">
      <c r="A417" s="387"/>
      <c r="B417" s="174" t="s">
        <v>580</v>
      </c>
      <c r="C417" s="174" t="s">
        <v>585</v>
      </c>
      <c r="D417" s="184">
        <v>159.99</v>
      </c>
      <c r="E417" s="179">
        <v>169.99</v>
      </c>
      <c r="F417" s="180">
        <v>39.99</v>
      </c>
      <c r="G417" s="179">
        <v>189.99</v>
      </c>
    </row>
    <row r="418" spans="1:7" ht="13" x14ac:dyDescent="0.15">
      <c r="A418" s="387"/>
      <c r="B418" s="174" t="s">
        <v>586</v>
      </c>
      <c r="C418" s="174" t="s">
        <v>587</v>
      </c>
      <c r="D418" s="184">
        <v>35</v>
      </c>
      <c r="E418" s="179">
        <v>39.99</v>
      </c>
      <c r="F418" s="180">
        <v>34.99</v>
      </c>
      <c r="G418" s="179">
        <v>44.99</v>
      </c>
    </row>
    <row r="419" spans="1:7" ht="13" x14ac:dyDescent="0.15">
      <c r="A419" s="387"/>
      <c r="B419" s="174" t="s">
        <v>586</v>
      </c>
      <c r="C419" s="174" t="s">
        <v>588</v>
      </c>
      <c r="D419" s="184">
        <v>52</v>
      </c>
      <c r="E419" s="179">
        <v>57.99</v>
      </c>
      <c r="F419" s="180">
        <v>34.99</v>
      </c>
      <c r="G419" s="179">
        <v>64.989999999999995</v>
      </c>
    </row>
    <row r="420" spans="1:7" ht="13" x14ac:dyDescent="0.15">
      <c r="A420" s="387"/>
      <c r="B420" s="174" t="s">
        <v>589</v>
      </c>
      <c r="C420" s="174" t="s">
        <v>590</v>
      </c>
      <c r="D420" s="184">
        <v>28</v>
      </c>
      <c r="E420" s="179">
        <v>34.99</v>
      </c>
      <c r="F420" s="180">
        <v>39.99</v>
      </c>
      <c r="G420" s="179">
        <v>39.99</v>
      </c>
    </row>
    <row r="421" spans="1:7" ht="13" x14ac:dyDescent="0.15">
      <c r="A421" s="387"/>
      <c r="B421" s="174" t="s">
        <v>589</v>
      </c>
      <c r="C421" s="174" t="s">
        <v>591</v>
      </c>
      <c r="D421" s="184">
        <v>35</v>
      </c>
      <c r="E421" s="179">
        <v>39.99</v>
      </c>
      <c r="F421" s="180">
        <v>39.99</v>
      </c>
      <c r="G421" s="179">
        <v>44.99</v>
      </c>
    </row>
    <row r="422" spans="1:7" ht="13" x14ac:dyDescent="0.15">
      <c r="A422" s="387"/>
      <c r="B422" s="174" t="s">
        <v>592</v>
      </c>
      <c r="C422" s="174" t="s">
        <v>593</v>
      </c>
      <c r="D422" s="182">
        <v>35</v>
      </c>
      <c r="E422" s="171">
        <v>37.99</v>
      </c>
      <c r="F422" s="180">
        <v>39.99</v>
      </c>
      <c r="G422" s="171">
        <v>42.99</v>
      </c>
    </row>
    <row r="423" spans="1:7" ht="13" x14ac:dyDescent="0.15">
      <c r="A423" s="387"/>
      <c r="B423" s="174" t="s">
        <v>592</v>
      </c>
      <c r="C423" s="174" t="s">
        <v>594</v>
      </c>
      <c r="D423" s="182">
        <v>54.99</v>
      </c>
      <c r="E423" s="171">
        <v>59.99</v>
      </c>
      <c r="F423" s="180">
        <v>39.99</v>
      </c>
      <c r="G423" s="171">
        <v>68.989999999999995</v>
      </c>
    </row>
    <row r="424" spans="1:7" ht="13" x14ac:dyDescent="0.15">
      <c r="A424" s="387"/>
      <c r="B424" s="174" t="s">
        <v>592</v>
      </c>
      <c r="C424" s="174" t="s">
        <v>595</v>
      </c>
      <c r="D424" s="182">
        <v>99.99</v>
      </c>
      <c r="E424" s="171">
        <v>99.99</v>
      </c>
      <c r="F424" s="180">
        <v>32.9</v>
      </c>
      <c r="G424" s="171">
        <v>114.99</v>
      </c>
    </row>
    <row r="425" spans="1:7" ht="13" x14ac:dyDescent="0.15">
      <c r="A425" s="387"/>
      <c r="B425" s="174" t="s">
        <v>592</v>
      </c>
      <c r="C425" s="174" t="s">
        <v>596</v>
      </c>
      <c r="D425" s="182">
        <v>159.99</v>
      </c>
      <c r="E425" s="171">
        <v>159.99</v>
      </c>
      <c r="F425" s="180">
        <v>39.99</v>
      </c>
      <c r="G425" s="171">
        <v>184.99</v>
      </c>
    </row>
    <row r="426" spans="1:7" ht="13" x14ac:dyDescent="0.15">
      <c r="A426" s="387"/>
      <c r="B426" s="174" t="s">
        <v>592</v>
      </c>
      <c r="C426" s="174" t="s">
        <v>597</v>
      </c>
      <c r="D426" s="182">
        <v>199</v>
      </c>
      <c r="E426" s="171">
        <v>199</v>
      </c>
      <c r="F426" s="180">
        <v>39.99</v>
      </c>
      <c r="G426" s="171">
        <v>229.99</v>
      </c>
    </row>
    <row r="427" spans="1:7" ht="13" x14ac:dyDescent="0.15">
      <c r="A427" s="387"/>
      <c r="B427" s="174" t="s">
        <v>598</v>
      </c>
      <c r="C427" s="174" t="s">
        <v>281</v>
      </c>
      <c r="D427" s="182">
        <v>35</v>
      </c>
      <c r="E427" s="171">
        <v>37.99</v>
      </c>
      <c r="F427" s="180">
        <v>39.99</v>
      </c>
      <c r="G427" s="171">
        <v>44.99</v>
      </c>
    </row>
    <row r="428" spans="1:7" ht="13" x14ac:dyDescent="0.15">
      <c r="A428" s="387"/>
      <c r="B428" s="174" t="s">
        <v>598</v>
      </c>
      <c r="C428" s="174" t="s">
        <v>599</v>
      </c>
      <c r="D428" s="182">
        <v>35</v>
      </c>
      <c r="E428" s="171">
        <v>37.99</v>
      </c>
      <c r="F428" s="183">
        <v>39.99</v>
      </c>
      <c r="G428" s="171">
        <v>44.99</v>
      </c>
    </row>
    <row r="429" spans="1:7" ht="13" x14ac:dyDescent="0.15">
      <c r="A429" s="387"/>
      <c r="B429" s="174" t="s">
        <v>598</v>
      </c>
      <c r="C429" s="174" t="s">
        <v>600</v>
      </c>
      <c r="D429" s="182">
        <v>38</v>
      </c>
      <c r="E429" s="171">
        <v>39.99</v>
      </c>
      <c r="F429" s="183">
        <v>34.99</v>
      </c>
      <c r="G429" s="171">
        <v>44.99</v>
      </c>
    </row>
    <row r="430" spans="1:7" ht="13" x14ac:dyDescent="0.15">
      <c r="A430" s="387"/>
      <c r="B430" s="174" t="s">
        <v>601</v>
      </c>
      <c r="C430" s="174" t="s">
        <v>602</v>
      </c>
      <c r="D430" s="182">
        <v>31.99</v>
      </c>
      <c r="E430" s="171">
        <v>34.99</v>
      </c>
      <c r="F430" s="183">
        <v>28.99</v>
      </c>
      <c r="G430" s="171">
        <v>39.99</v>
      </c>
    </row>
    <row r="431" spans="1:7" ht="13" x14ac:dyDescent="0.15">
      <c r="A431" s="387"/>
      <c r="B431" s="174" t="s">
        <v>601</v>
      </c>
      <c r="C431" s="174" t="s">
        <v>603</v>
      </c>
      <c r="D431" s="182">
        <v>31.99</v>
      </c>
      <c r="E431" s="171">
        <v>34.99</v>
      </c>
      <c r="F431" s="183">
        <v>39.99</v>
      </c>
      <c r="G431" s="171">
        <v>39.99</v>
      </c>
    </row>
    <row r="432" spans="1:7" ht="13" x14ac:dyDescent="0.15">
      <c r="A432" s="387"/>
      <c r="B432" s="174" t="s">
        <v>604</v>
      </c>
      <c r="C432" s="174" t="s">
        <v>605</v>
      </c>
      <c r="D432" s="182">
        <v>35</v>
      </c>
      <c r="E432" s="171">
        <v>37.99</v>
      </c>
      <c r="F432" s="183">
        <v>22</v>
      </c>
      <c r="G432" s="171">
        <v>44.99</v>
      </c>
    </row>
    <row r="433" spans="1:7" ht="13" x14ac:dyDescent="0.15">
      <c r="A433" s="387"/>
      <c r="B433" s="174" t="s">
        <v>604</v>
      </c>
      <c r="C433" s="174" t="s">
        <v>606</v>
      </c>
      <c r="D433" s="182">
        <v>35</v>
      </c>
      <c r="E433" s="171">
        <v>37.99</v>
      </c>
      <c r="F433" s="183">
        <v>24.99</v>
      </c>
      <c r="G433" s="171">
        <v>44.99</v>
      </c>
    </row>
    <row r="434" spans="1:7" ht="13" x14ac:dyDescent="0.15">
      <c r="A434" s="387"/>
      <c r="B434" s="174" t="s">
        <v>604</v>
      </c>
      <c r="C434" s="174" t="s">
        <v>607</v>
      </c>
      <c r="D434" s="182">
        <v>35</v>
      </c>
      <c r="E434" s="171">
        <v>37.99</v>
      </c>
      <c r="F434" s="183">
        <v>34.99</v>
      </c>
      <c r="G434" s="171">
        <v>44.99</v>
      </c>
    </row>
    <row r="435" spans="1:7" ht="13" x14ac:dyDescent="0.15">
      <c r="A435" s="387"/>
      <c r="B435" s="174" t="s">
        <v>604</v>
      </c>
      <c r="C435" s="174" t="s">
        <v>608</v>
      </c>
      <c r="D435" s="182">
        <v>35</v>
      </c>
      <c r="E435" s="171">
        <v>37.99</v>
      </c>
      <c r="F435" s="183">
        <v>24.99</v>
      </c>
      <c r="G435" s="171">
        <v>44.99</v>
      </c>
    </row>
    <row r="436" spans="1:7" ht="13" x14ac:dyDescent="0.15">
      <c r="A436" s="387"/>
      <c r="B436" s="174" t="s">
        <v>609</v>
      </c>
      <c r="C436" s="174" t="s">
        <v>256</v>
      </c>
      <c r="D436" s="182">
        <v>28.99</v>
      </c>
      <c r="E436" s="171">
        <v>29.99</v>
      </c>
      <c r="F436" s="183">
        <v>22</v>
      </c>
      <c r="G436" s="171">
        <v>34.99</v>
      </c>
    </row>
    <row r="437" spans="1:7" ht="13" x14ac:dyDescent="0.15">
      <c r="A437" s="387"/>
      <c r="B437" s="174" t="s">
        <v>609</v>
      </c>
      <c r="C437" s="174" t="s">
        <v>257</v>
      </c>
      <c r="D437" s="182">
        <v>35</v>
      </c>
      <c r="E437" s="171">
        <v>37.99</v>
      </c>
      <c r="F437" s="183">
        <v>32</v>
      </c>
      <c r="G437" s="171">
        <v>44.99</v>
      </c>
    </row>
    <row r="438" spans="1:7" ht="13" x14ac:dyDescent="0.15">
      <c r="A438" s="387"/>
      <c r="B438" s="174" t="s">
        <v>609</v>
      </c>
      <c r="C438" s="174" t="s">
        <v>610</v>
      </c>
      <c r="D438" s="182">
        <v>35</v>
      </c>
      <c r="E438" s="171">
        <v>37.99</v>
      </c>
      <c r="F438" s="183">
        <v>27.99</v>
      </c>
      <c r="G438" s="171">
        <v>44.99</v>
      </c>
    </row>
    <row r="439" spans="1:7" ht="13" x14ac:dyDescent="0.15">
      <c r="A439" s="387"/>
      <c r="B439" s="174" t="s">
        <v>609</v>
      </c>
      <c r="C439" s="174" t="s">
        <v>611</v>
      </c>
      <c r="D439" s="182">
        <v>35</v>
      </c>
      <c r="E439" s="171">
        <v>37.99</v>
      </c>
      <c r="F439" s="183">
        <v>35</v>
      </c>
      <c r="G439" s="171">
        <v>44.99</v>
      </c>
    </row>
    <row r="440" spans="1:7" ht="13" x14ac:dyDescent="0.15">
      <c r="A440" s="387"/>
      <c r="B440" s="174" t="s">
        <v>609</v>
      </c>
      <c r="C440" s="177" t="s">
        <v>612</v>
      </c>
      <c r="D440" s="184">
        <v>35</v>
      </c>
      <c r="E440" s="179">
        <v>37.99</v>
      </c>
      <c r="F440" s="183">
        <v>39.99</v>
      </c>
      <c r="G440" s="171">
        <v>44.99</v>
      </c>
    </row>
    <row r="441" spans="1:7" ht="13" x14ac:dyDescent="0.15">
      <c r="A441" s="387"/>
      <c r="B441" s="174" t="s">
        <v>609</v>
      </c>
      <c r="C441" s="177" t="s">
        <v>613</v>
      </c>
      <c r="D441" s="184">
        <v>32.99</v>
      </c>
      <c r="E441" s="179">
        <v>34.99</v>
      </c>
      <c r="F441" s="183">
        <v>39.99</v>
      </c>
      <c r="G441" s="179">
        <v>39.99</v>
      </c>
    </row>
    <row r="442" spans="1:7" ht="13" x14ac:dyDescent="0.15">
      <c r="A442" s="387"/>
      <c r="B442" s="174" t="s">
        <v>609</v>
      </c>
      <c r="C442" s="177" t="s">
        <v>614</v>
      </c>
      <c r="D442" s="184">
        <v>24.99</v>
      </c>
      <c r="E442" s="179">
        <v>27.99</v>
      </c>
      <c r="F442" s="183">
        <v>39.99</v>
      </c>
      <c r="G442" s="179">
        <v>32.99</v>
      </c>
    </row>
    <row r="443" spans="1:7" ht="13" x14ac:dyDescent="0.15">
      <c r="A443" s="387"/>
      <c r="B443" s="174" t="s">
        <v>609</v>
      </c>
      <c r="C443" s="177" t="s">
        <v>615</v>
      </c>
      <c r="D443" s="184">
        <v>35</v>
      </c>
      <c r="E443" s="179">
        <v>37.99</v>
      </c>
      <c r="F443" s="183">
        <v>39.99</v>
      </c>
      <c r="G443" s="179">
        <v>44.99</v>
      </c>
    </row>
    <row r="444" spans="1:7" ht="13" x14ac:dyDescent="0.15">
      <c r="A444" s="387"/>
      <c r="B444" s="174" t="s">
        <v>616</v>
      </c>
      <c r="C444" s="177" t="s">
        <v>617</v>
      </c>
      <c r="D444" s="184">
        <v>22</v>
      </c>
      <c r="E444" s="179">
        <v>24.99</v>
      </c>
      <c r="F444" s="183">
        <v>39.99</v>
      </c>
      <c r="G444" s="179">
        <v>27.99</v>
      </c>
    </row>
    <row r="445" spans="1:7" ht="13" x14ac:dyDescent="0.15">
      <c r="A445" s="387"/>
      <c r="B445" s="174" t="s">
        <v>616</v>
      </c>
      <c r="C445" s="177" t="s">
        <v>618</v>
      </c>
      <c r="D445" s="184">
        <v>22</v>
      </c>
      <c r="E445" s="179">
        <v>24.99</v>
      </c>
      <c r="F445" s="183">
        <v>39.99</v>
      </c>
      <c r="G445" s="179">
        <v>27.99</v>
      </c>
    </row>
    <row r="446" spans="1:7" ht="13" x14ac:dyDescent="0.15">
      <c r="A446" s="387"/>
      <c r="B446" s="174" t="s">
        <v>616</v>
      </c>
      <c r="C446" s="177" t="s">
        <v>619</v>
      </c>
      <c r="D446" s="184">
        <v>32</v>
      </c>
      <c r="E446" s="179">
        <v>34.99</v>
      </c>
      <c r="F446" s="183">
        <v>39.99</v>
      </c>
      <c r="G446" s="179">
        <v>39.99</v>
      </c>
    </row>
    <row r="447" spans="1:7" ht="13" x14ac:dyDescent="0.15">
      <c r="A447" s="387"/>
      <c r="B447" s="174" t="s">
        <v>616</v>
      </c>
      <c r="C447" s="177" t="s">
        <v>8</v>
      </c>
      <c r="D447" s="184">
        <v>22</v>
      </c>
      <c r="E447" s="179">
        <v>24.99</v>
      </c>
      <c r="F447" s="183">
        <v>39.99</v>
      </c>
      <c r="G447" s="179">
        <v>27.99</v>
      </c>
    </row>
    <row r="448" spans="1:7" ht="13" x14ac:dyDescent="0.15">
      <c r="A448" s="387"/>
      <c r="B448" s="174" t="s">
        <v>616</v>
      </c>
      <c r="C448" s="177" t="s">
        <v>620</v>
      </c>
      <c r="D448" s="184">
        <v>22</v>
      </c>
      <c r="E448" s="179">
        <v>24.99</v>
      </c>
      <c r="F448" s="183">
        <v>39.99</v>
      </c>
      <c r="G448" s="179">
        <v>27.99</v>
      </c>
    </row>
    <row r="449" spans="1:7" ht="13" x14ac:dyDescent="0.15">
      <c r="A449" s="387"/>
      <c r="B449" s="174" t="s">
        <v>616</v>
      </c>
      <c r="C449" s="177" t="s">
        <v>621</v>
      </c>
      <c r="D449" s="184">
        <v>22</v>
      </c>
      <c r="E449" s="179">
        <v>24.99</v>
      </c>
      <c r="F449" s="180">
        <v>35</v>
      </c>
      <c r="G449" s="179">
        <v>27.99</v>
      </c>
    </row>
    <row r="450" spans="1:7" ht="13" x14ac:dyDescent="0.15">
      <c r="A450" s="387"/>
      <c r="B450" s="174" t="s">
        <v>616</v>
      </c>
      <c r="C450" s="177" t="s">
        <v>278</v>
      </c>
      <c r="D450" s="184">
        <v>24.99</v>
      </c>
      <c r="E450" s="179">
        <v>27.99</v>
      </c>
      <c r="F450" s="180">
        <v>22</v>
      </c>
      <c r="G450" s="179">
        <v>29.99</v>
      </c>
    </row>
    <row r="451" spans="1:7" ht="13" x14ac:dyDescent="0.15">
      <c r="A451" s="387"/>
      <c r="B451" s="174" t="s">
        <v>616</v>
      </c>
      <c r="C451" s="177" t="s">
        <v>622</v>
      </c>
      <c r="D451" s="184">
        <v>25</v>
      </c>
      <c r="E451" s="179">
        <v>27.99</v>
      </c>
      <c r="F451" s="74">
        <v>25</v>
      </c>
      <c r="G451" s="179">
        <v>29.99</v>
      </c>
    </row>
    <row r="452" spans="1:7" ht="13" x14ac:dyDescent="0.15">
      <c r="A452" s="387"/>
      <c r="B452" s="174" t="s">
        <v>623</v>
      </c>
      <c r="C452" s="177" t="s">
        <v>624</v>
      </c>
      <c r="D452" s="184">
        <v>34</v>
      </c>
      <c r="E452" s="179">
        <v>37.99</v>
      </c>
      <c r="F452" s="74">
        <v>34</v>
      </c>
      <c r="G452" s="179">
        <v>44.99</v>
      </c>
    </row>
    <row r="453" spans="1:7" ht="13" x14ac:dyDescent="0.15">
      <c r="A453" s="387"/>
      <c r="B453" s="174" t="s">
        <v>623</v>
      </c>
      <c r="C453" s="177" t="s">
        <v>622</v>
      </c>
      <c r="D453" s="184">
        <v>35</v>
      </c>
      <c r="E453" s="179">
        <v>37.99</v>
      </c>
      <c r="F453" s="185">
        <v>35</v>
      </c>
      <c r="G453" s="179">
        <v>44.99</v>
      </c>
    </row>
    <row r="454" spans="1:7" ht="13" x14ac:dyDescent="0.15">
      <c r="A454" s="387"/>
      <c r="B454" s="174" t="s">
        <v>625</v>
      </c>
      <c r="C454" s="177" t="s">
        <v>259</v>
      </c>
      <c r="D454" s="184">
        <v>35</v>
      </c>
      <c r="E454" s="179">
        <v>37.99</v>
      </c>
      <c r="F454" s="186">
        <v>35</v>
      </c>
      <c r="G454" s="179">
        <v>44.99</v>
      </c>
    </row>
    <row r="455" spans="1:7" ht="13" x14ac:dyDescent="0.15">
      <c r="A455" s="387"/>
      <c r="B455" s="174" t="s">
        <v>625</v>
      </c>
      <c r="C455" s="177" t="s">
        <v>626</v>
      </c>
      <c r="D455" s="184">
        <v>35</v>
      </c>
      <c r="E455" s="179">
        <v>37.99</v>
      </c>
      <c r="F455" s="186">
        <v>35</v>
      </c>
      <c r="G455" s="179">
        <v>44.99</v>
      </c>
    </row>
    <row r="456" spans="1:7" ht="13" x14ac:dyDescent="0.15">
      <c r="A456" s="387"/>
      <c r="B456" s="174" t="s">
        <v>625</v>
      </c>
      <c r="C456" s="177" t="s">
        <v>627</v>
      </c>
      <c r="D456" s="184">
        <v>35</v>
      </c>
      <c r="E456" s="179">
        <v>37.99</v>
      </c>
      <c r="F456" s="186">
        <v>35</v>
      </c>
      <c r="G456" s="179">
        <v>44.99</v>
      </c>
    </row>
    <row r="457" spans="1:7" ht="13" x14ac:dyDescent="0.15">
      <c r="A457" s="387"/>
      <c r="B457" s="174" t="s">
        <v>625</v>
      </c>
      <c r="C457" s="177" t="s">
        <v>628</v>
      </c>
      <c r="D457" s="184">
        <v>35</v>
      </c>
      <c r="E457" s="179">
        <v>37.99</v>
      </c>
      <c r="F457" s="187">
        <v>35</v>
      </c>
      <c r="G457" s="179">
        <v>44.99</v>
      </c>
    </row>
    <row r="458" spans="1:7" ht="13" x14ac:dyDescent="0.15">
      <c r="A458" s="387"/>
      <c r="B458" s="174" t="s">
        <v>625</v>
      </c>
      <c r="C458" s="177" t="s">
        <v>314</v>
      </c>
      <c r="D458" s="184">
        <v>35</v>
      </c>
      <c r="E458" s="179">
        <v>37.99</v>
      </c>
      <c r="F458" s="185">
        <v>35</v>
      </c>
      <c r="G458" s="179">
        <v>44.99</v>
      </c>
    </row>
    <row r="459" spans="1:7" ht="13" x14ac:dyDescent="0.15">
      <c r="A459" s="387"/>
      <c r="B459" s="174" t="s">
        <v>625</v>
      </c>
      <c r="C459" s="177" t="s">
        <v>629</v>
      </c>
      <c r="D459" s="184">
        <v>35</v>
      </c>
      <c r="E459" s="179">
        <v>37.99</v>
      </c>
      <c r="F459" s="186">
        <v>35</v>
      </c>
      <c r="G459" s="179">
        <v>44.99</v>
      </c>
    </row>
    <row r="460" spans="1:7" ht="13" x14ac:dyDescent="0.15">
      <c r="A460" s="387"/>
      <c r="B460" s="174" t="s">
        <v>625</v>
      </c>
      <c r="C460" s="177" t="s">
        <v>630</v>
      </c>
      <c r="D460" s="184">
        <v>35</v>
      </c>
      <c r="E460" s="179">
        <v>37.99</v>
      </c>
      <c r="F460" s="186">
        <v>35</v>
      </c>
      <c r="G460" s="179">
        <v>44.99</v>
      </c>
    </row>
    <row r="461" spans="1:7" ht="13" x14ac:dyDescent="0.15">
      <c r="A461" s="387"/>
      <c r="B461" s="188" t="s">
        <v>632</v>
      </c>
      <c r="C461" s="188"/>
      <c r="D461" s="189">
        <v>35</v>
      </c>
      <c r="E461" s="171">
        <v>35</v>
      </c>
      <c r="F461" s="186">
        <v>35</v>
      </c>
      <c r="G461" s="171">
        <v>37.99</v>
      </c>
    </row>
    <row r="462" spans="1:7" ht="13" x14ac:dyDescent="0.15">
      <c r="A462" s="190" t="s">
        <v>655</v>
      </c>
      <c r="B462" s="190" t="s">
        <v>656</v>
      </c>
      <c r="C462" s="191"/>
      <c r="D462" s="125">
        <v>115</v>
      </c>
      <c r="E462" s="95">
        <v>125</v>
      </c>
      <c r="F462" s="192">
        <v>115</v>
      </c>
      <c r="G462" s="95">
        <v>125</v>
      </c>
    </row>
    <row r="463" spans="1:7" ht="13" x14ac:dyDescent="0.15">
      <c r="A463" s="12"/>
      <c r="B463" s="12" t="s">
        <v>657</v>
      </c>
      <c r="C463" s="193"/>
      <c r="D463" s="127">
        <v>177</v>
      </c>
      <c r="E463" s="95">
        <v>189</v>
      </c>
      <c r="F463" s="194">
        <v>177</v>
      </c>
      <c r="G463" s="95">
        <v>189</v>
      </c>
    </row>
    <row r="464" spans="1:7" ht="13" x14ac:dyDescent="0.15">
      <c r="A464" s="12" t="s">
        <v>658</v>
      </c>
      <c r="B464" s="12" t="s">
        <v>656</v>
      </c>
      <c r="C464" s="193"/>
      <c r="D464" s="125">
        <v>149</v>
      </c>
      <c r="E464" s="95">
        <v>165</v>
      </c>
      <c r="F464" s="195">
        <v>149</v>
      </c>
      <c r="G464" s="95">
        <v>165</v>
      </c>
    </row>
    <row r="465" spans="1:7" ht="13" x14ac:dyDescent="0.15">
      <c r="A465" s="12"/>
      <c r="B465" s="12" t="s">
        <v>657</v>
      </c>
      <c r="C465" s="193"/>
      <c r="D465" s="127">
        <v>199</v>
      </c>
      <c r="E465" s="95">
        <v>215</v>
      </c>
      <c r="F465" s="195">
        <v>199</v>
      </c>
      <c r="G465" s="95">
        <v>215</v>
      </c>
    </row>
    <row r="466" spans="1:7" ht="13" x14ac:dyDescent="0.15">
      <c r="A466" s="12" t="s">
        <v>659</v>
      </c>
      <c r="B466" s="12" t="s">
        <v>656</v>
      </c>
      <c r="C466" s="193"/>
      <c r="D466" s="125">
        <v>145</v>
      </c>
      <c r="E466" s="95">
        <v>149</v>
      </c>
      <c r="F466" s="195">
        <v>145</v>
      </c>
      <c r="G466" s="95">
        <v>149</v>
      </c>
    </row>
    <row r="467" spans="1:7" ht="13" x14ac:dyDescent="0.15">
      <c r="A467" s="12"/>
      <c r="B467" s="12" t="s">
        <v>657</v>
      </c>
      <c r="C467" s="193"/>
      <c r="D467" s="127">
        <v>240</v>
      </c>
      <c r="E467" s="95">
        <v>240</v>
      </c>
      <c r="F467" s="195">
        <v>240</v>
      </c>
      <c r="G467" s="95">
        <v>240</v>
      </c>
    </row>
    <row r="468" spans="1:7" ht="13" x14ac:dyDescent="0.15">
      <c r="A468" s="12" t="s">
        <v>660</v>
      </c>
      <c r="B468" s="12" t="s">
        <v>656</v>
      </c>
      <c r="C468" s="193"/>
      <c r="D468" s="125">
        <v>155</v>
      </c>
      <c r="E468" s="95">
        <v>169</v>
      </c>
      <c r="F468" s="192">
        <v>155</v>
      </c>
      <c r="G468" s="95">
        <v>169</v>
      </c>
    </row>
    <row r="469" spans="1:7" ht="13" x14ac:dyDescent="0.15">
      <c r="A469" s="12"/>
      <c r="B469" s="12" t="s">
        <v>657</v>
      </c>
      <c r="C469" s="193"/>
      <c r="D469" s="127">
        <v>230</v>
      </c>
      <c r="E469" s="95">
        <v>245</v>
      </c>
      <c r="F469" s="194">
        <v>230</v>
      </c>
      <c r="G469" s="95">
        <v>245</v>
      </c>
    </row>
    <row r="470" spans="1:7" ht="13" x14ac:dyDescent="0.15">
      <c r="A470" s="12" t="s">
        <v>661</v>
      </c>
      <c r="B470" s="12" t="s">
        <v>656</v>
      </c>
      <c r="C470" s="193"/>
      <c r="D470" s="125">
        <v>225</v>
      </c>
      <c r="E470" s="95">
        <v>225</v>
      </c>
      <c r="F470" s="195">
        <v>225</v>
      </c>
      <c r="G470" s="95">
        <v>225</v>
      </c>
    </row>
    <row r="471" spans="1:7" ht="13" x14ac:dyDescent="0.15">
      <c r="A471" s="12"/>
      <c r="B471" s="12" t="s">
        <v>657</v>
      </c>
      <c r="C471" s="193"/>
      <c r="D471" s="127">
        <v>350</v>
      </c>
      <c r="E471" s="95">
        <v>350</v>
      </c>
      <c r="F471" s="195">
        <v>350</v>
      </c>
      <c r="G471" s="95">
        <v>350</v>
      </c>
    </row>
    <row r="472" spans="1:7" ht="13" x14ac:dyDescent="0.15">
      <c r="A472" s="12" t="s">
        <v>662</v>
      </c>
      <c r="B472" s="12" t="s">
        <v>656</v>
      </c>
      <c r="C472" s="193"/>
      <c r="D472" s="125">
        <v>270</v>
      </c>
      <c r="E472" s="95">
        <v>270</v>
      </c>
      <c r="F472" s="195">
        <v>270</v>
      </c>
      <c r="G472" s="95">
        <v>270</v>
      </c>
    </row>
    <row r="473" spans="1:7" ht="13" x14ac:dyDescent="0.15">
      <c r="A473" s="12"/>
      <c r="B473" s="12" t="s">
        <v>657</v>
      </c>
      <c r="C473" s="193"/>
      <c r="D473" s="127">
        <v>400</v>
      </c>
      <c r="E473" s="95">
        <v>400</v>
      </c>
      <c r="F473" s="195">
        <v>400</v>
      </c>
      <c r="G473" s="95">
        <v>400</v>
      </c>
    </row>
    <row r="474" spans="1:7" ht="13" x14ac:dyDescent="0.15">
      <c r="A474" s="12" t="s">
        <v>33</v>
      </c>
      <c r="B474" s="12" t="s">
        <v>656</v>
      </c>
      <c r="C474" s="193"/>
      <c r="D474" s="125">
        <v>175</v>
      </c>
      <c r="E474" s="95">
        <v>189</v>
      </c>
      <c r="F474" s="192">
        <v>175</v>
      </c>
      <c r="G474" s="95">
        <v>189</v>
      </c>
    </row>
    <row r="475" spans="1:7" ht="13" x14ac:dyDescent="0.15">
      <c r="A475" s="12"/>
      <c r="B475" s="12" t="s">
        <v>657</v>
      </c>
      <c r="C475" s="193"/>
      <c r="D475" s="127">
        <v>290</v>
      </c>
      <c r="E475" s="95">
        <v>299</v>
      </c>
      <c r="F475" s="196">
        <v>290</v>
      </c>
      <c r="G475" s="95">
        <v>299</v>
      </c>
    </row>
    <row r="476" spans="1:7" ht="13" x14ac:dyDescent="0.15">
      <c r="A476" s="12" t="s">
        <v>663</v>
      </c>
      <c r="B476" s="12" t="s">
        <v>656</v>
      </c>
      <c r="C476" s="193"/>
      <c r="D476" s="125">
        <v>115</v>
      </c>
      <c r="E476" s="95">
        <v>125</v>
      </c>
      <c r="F476" s="197">
        <v>115</v>
      </c>
      <c r="G476" s="95">
        <v>125</v>
      </c>
    </row>
    <row r="477" spans="1:7" ht="13" x14ac:dyDescent="0.15">
      <c r="A477" s="12"/>
      <c r="B477" s="12" t="s">
        <v>657</v>
      </c>
      <c r="C477" s="193"/>
      <c r="D477" s="127">
        <v>177</v>
      </c>
      <c r="E477" s="95">
        <v>189</v>
      </c>
      <c r="F477" s="197">
        <v>177</v>
      </c>
      <c r="G477" s="95">
        <v>189</v>
      </c>
    </row>
    <row r="478" spans="1:7" ht="13" x14ac:dyDescent="0.15">
      <c r="A478" s="12" t="s">
        <v>664</v>
      </c>
      <c r="B478" s="12" t="s">
        <v>656</v>
      </c>
      <c r="C478" s="193"/>
      <c r="D478" s="125">
        <v>150</v>
      </c>
      <c r="E478" s="95">
        <v>159</v>
      </c>
      <c r="F478" s="198">
        <v>150</v>
      </c>
      <c r="G478" s="95">
        <v>159</v>
      </c>
    </row>
    <row r="479" spans="1:7" ht="13" x14ac:dyDescent="0.15">
      <c r="A479" s="12"/>
      <c r="B479" s="12" t="s">
        <v>657</v>
      </c>
      <c r="C479" s="193"/>
      <c r="D479" s="127">
        <v>225</v>
      </c>
      <c r="E479" s="95">
        <v>225</v>
      </c>
      <c r="F479" s="198">
        <v>225</v>
      </c>
      <c r="G479" s="95">
        <v>225</v>
      </c>
    </row>
    <row r="480" spans="1:7" ht="13" x14ac:dyDescent="0.15">
      <c r="A480" s="12" t="s">
        <v>665</v>
      </c>
      <c r="B480" s="12" t="s">
        <v>656</v>
      </c>
      <c r="C480" s="193"/>
      <c r="D480" s="125">
        <v>140</v>
      </c>
      <c r="E480" s="95">
        <v>149</v>
      </c>
      <c r="F480" s="198">
        <v>140</v>
      </c>
      <c r="G480" s="95">
        <v>149</v>
      </c>
    </row>
    <row r="481" spans="1:7" ht="13" x14ac:dyDescent="0.15">
      <c r="A481" s="12"/>
      <c r="B481" s="12" t="s">
        <v>657</v>
      </c>
      <c r="C481" s="193"/>
      <c r="D481" s="127">
        <v>230</v>
      </c>
      <c r="E481" s="95">
        <v>239</v>
      </c>
      <c r="F481" s="198">
        <v>230</v>
      </c>
      <c r="G481" s="95">
        <v>239</v>
      </c>
    </row>
    <row r="482" spans="1:7" ht="13" x14ac:dyDescent="0.15">
      <c r="A482" s="12" t="s">
        <v>666</v>
      </c>
      <c r="B482" s="12" t="s">
        <v>656</v>
      </c>
      <c r="C482" s="193"/>
      <c r="D482" s="125">
        <v>150</v>
      </c>
      <c r="E482" s="95">
        <v>159</v>
      </c>
      <c r="F482" s="198">
        <v>150</v>
      </c>
      <c r="G482" s="95">
        <v>159</v>
      </c>
    </row>
    <row r="483" spans="1:7" ht="13" x14ac:dyDescent="0.15">
      <c r="A483" s="12"/>
      <c r="B483" s="12" t="s">
        <v>657</v>
      </c>
      <c r="C483" s="193"/>
      <c r="D483" s="127">
        <v>225</v>
      </c>
      <c r="E483" s="95">
        <v>225</v>
      </c>
      <c r="F483" s="198">
        <v>225</v>
      </c>
      <c r="G483" s="95">
        <v>225</v>
      </c>
    </row>
    <row r="484" spans="1:7" ht="13" x14ac:dyDescent="0.15">
      <c r="A484" s="12" t="s">
        <v>667</v>
      </c>
      <c r="B484" s="12" t="s">
        <v>656</v>
      </c>
      <c r="C484" s="193"/>
      <c r="D484" s="125">
        <v>225</v>
      </c>
      <c r="E484" s="95">
        <v>249</v>
      </c>
      <c r="F484" s="198">
        <v>225</v>
      </c>
      <c r="G484" s="95">
        <v>249</v>
      </c>
    </row>
    <row r="485" spans="1:7" ht="13" x14ac:dyDescent="0.15">
      <c r="A485" s="12"/>
      <c r="B485" s="12" t="s">
        <v>657</v>
      </c>
      <c r="C485" s="193"/>
      <c r="D485" s="127">
        <v>350</v>
      </c>
      <c r="E485" s="95">
        <v>365</v>
      </c>
      <c r="F485" s="198">
        <v>350</v>
      </c>
      <c r="G485" s="95">
        <v>365</v>
      </c>
    </row>
    <row r="486" spans="1:7" ht="13" x14ac:dyDescent="0.15">
      <c r="A486" s="12" t="s">
        <v>668</v>
      </c>
      <c r="B486" s="12" t="s">
        <v>656</v>
      </c>
      <c r="C486" s="193"/>
      <c r="D486" s="125">
        <v>175</v>
      </c>
      <c r="E486" s="95">
        <v>185</v>
      </c>
      <c r="F486" s="198">
        <v>175</v>
      </c>
      <c r="G486" s="95">
        <v>185</v>
      </c>
    </row>
    <row r="487" spans="1:7" ht="13" x14ac:dyDescent="0.15">
      <c r="A487" s="12"/>
      <c r="B487" s="12" t="s">
        <v>657</v>
      </c>
      <c r="C487" s="193"/>
      <c r="D487" s="130">
        <v>290</v>
      </c>
      <c r="E487" s="95">
        <v>299</v>
      </c>
      <c r="F487" s="198">
        <v>290</v>
      </c>
      <c r="G487" s="95">
        <v>299</v>
      </c>
    </row>
    <row r="488" spans="1:7" ht="13" x14ac:dyDescent="0.15">
      <c r="A488" s="12" t="s">
        <v>669</v>
      </c>
      <c r="B488" s="12" t="s">
        <v>656</v>
      </c>
      <c r="C488" s="193"/>
      <c r="D488" s="127">
        <v>35</v>
      </c>
      <c r="E488" s="95">
        <v>35</v>
      </c>
      <c r="F488" s="198">
        <v>35</v>
      </c>
      <c r="G488" s="95">
        <v>35</v>
      </c>
    </row>
    <row r="489" spans="1:7" ht="13" x14ac:dyDescent="0.15">
      <c r="A489" s="12"/>
      <c r="B489" s="12" t="s">
        <v>657</v>
      </c>
      <c r="C489" s="193"/>
      <c r="D489" s="127">
        <v>50</v>
      </c>
      <c r="E489" s="95">
        <v>50</v>
      </c>
      <c r="F489" s="198">
        <v>50</v>
      </c>
      <c r="G489" s="95">
        <v>50</v>
      </c>
    </row>
    <row r="490" spans="1:7" ht="13" x14ac:dyDescent="0.15">
      <c r="A490" s="12" t="s">
        <v>670</v>
      </c>
      <c r="B490" s="12" t="s">
        <v>656</v>
      </c>
      <c r="C490" s="193"/>
      <c r="D490" s="127">
        <v>35</v>
      </c>
      <c r="E490" s="95">
        <v>35</v>
      </c>
      <c r="F490" s="198">
        <v>35</v>
      </c>
      <c r="G490" s="95">
        <v>35</v>
      </c>
    </row>
    <row r="491" spans="1:7" ht="13" x14ac:dyDescent="0.15">
      <c r="A491" s="12"/>
      <c r="B491" s="12" t="s">
        <v>657</v>
      </c>
      <c r="C491" s="193"/>
      <c r="D491" s="127">
        <v>50</v>
      </c>
      <c r="E491" s="95">
        <v>50</v>
      </c>
      <c r="F491" s="198">
        <v>50</v>
      </c>
      <c r="G491" s="95">
        <v>50</v>
      </c>
    </row>
    <row r="492" spans="1:7" ht="13" x14ac:dyDescent="0.15">
      <c r="A492" s="12" t="s">
        <v>671</v>
      </c>
      <c r="B492" s="12" t="s">
        <v>656</v>
      </c>
      <c r="C492" s="193"/>
      <c r="D492" s="127">
        <v>35</v>
      </c>
      <c r="E492" s="95">
        <v>35</v>
      </c>
      <c r="F492" s="198">
        <v>35</v>
      </c>
      <c r="G492" s="95">
        <v>35</v>
      </c>
    </row>
    <row r="493" spans="1:7" ht="13" x14ac:dyDescent="0.15">
      <c r="A493" s="12"/>
      <c r="B493" s="12" t="s">
        <v>657</v>
      </c>
      <c r="C493" s="193"/>
      <c r="D493" s="127">
        <v>50</v>
      </c>
      <c r="E493" s="95">
        <v>50</v>
      </c>
      <c r="F493" s="198">
        <v>50</v>
      </c>
      <c r="G493" s="95">
        <v>50</v>
      </c>
    </row>
    <row r="494" spans="1:7" ht="13" x14ac:dyDescent="0.15">
      <c r="A494" s="12" t="s">
        <v>672</v>
      </c>
      <c r="B494" s="12" t="s">
        <v>656</v>
      </c>
      <c r="C494" s="193"/>
      <c r="D494" s="127">
        <v>35</v>
      </c>
      <c r="E494" s="95">
        <v>35</v>
      </c>
      <c r="F494" s="198">
        <v>35</v>
      </c>
      <c r="G494" s="95">
        <v>35</v>
      </c>
    </row>
    <row r="495" spans="1:7" ht="13" x14ac:dyDescent="0.15">
      <c r="A495" s="12"/>
      <c r="B495" s="12" t="s">
        <v>657</v>
      </c>
      <c r="C495" s="193"/>
      <c r="D495" s="127">
        <v>50</v>
      </c>
      <c r="E495" s="95">
        <v>50</v>
      </c>
      <c r="F495" s="198">
        <v>50</v>
      </c>
      <c r="G495" s="95">
        <v>50</v>
      </c>
    </row>
    <row r="496" spans="1:7" ht="13" x14ac:dyDescent="0.15">
      <c r="A496" s="12" t="s">
        <v>673</v>
      </c>
      <c r="B496" s="12" t="s">
        <v>656</v>
      </c>
      <c r="C496" s="193"/>
      <c r="D496" s="127">
        <v>35</v>
      </c>
      <c r="E496" s="95">
        <v>35</v>
      </c>
      <c r="F496" s="198">
        <v>35</v>
      </c>
      <c r="G496" s="95">
        <v>35</v>
      </c>
    </row>
    <row r="497" spans="1:7" ht="13" x14ac:dyDescent="0.15">
      <c r="A497" s="12"/>
      <c r="B497" s="12" t="s">
        <v>657</v>
      </c>
      <c r="C497" s="193"/>
      <c r="D497" s="127">
        <v>50</v>
      </c>
      <c r="E497" s="95">
        <v>50</v>
      </c>
      <c r="F497" s="198">
        <v>50</v>
      </c>
      <c r="G497" s="95">
        <v>50</v>
      </c>
    </row>
    <row r="498" spans="1:7" ht="13" x14ac:dyDescent="0.15">
      <c r="A498" s="12" t="s">
        <v>674</v>
      </c>
      <c r="B498" s="12" t="s">
        <v>656</v>
      </c>
      <c r="C498" s="193"/>
      <c r="D498" s="127">
        <v>35</v>
      </c>
      <c r="E498" s="95">
        <v>35</v>
      </c>
      <c r="F498" s="198">
        <v>35</v>
      </c>
      <c r="G498" s="95">
        <v>35</v>
      </c>
    </row>
    <row r="499" spans="1:7" ht="13" x14ac:dyDescent="0.15">
      <c r="A499" s="20"/>
      <c r="B499" s="12" t="s">
        <v>657</v>
      </c>
      <c r="C499" s="193"/>
      <c r="D499" s="127">
        <v>50</v>
      </c>
      <c r="E499" s="95">
        <v>50</v>
      </c>
      <c r="F499" s="198">
        <v>50</v>
      </c>
      <c r="G499" s="95">
        <v>50</v>
      </c>
    </row>
    <row r="500" spans="1:7" ht="13" x14ac:dyDescent="0.15">
      <c r="A500" s="423" t="s">
        <v>767</v>
      </c>
      <c r="B500" s="418" t="s">
        <v>684</v>
      </c>
      <c r="C500" s="418" t="s">
        <v>685</v>
      </c>
      <c r="D500" s="419">
        <v>59.99</v>
      </c>
      <c r="E500" s="421">
        <v>59.99</v>
      </c>
      <c r="F500" s="421">
        <v>59.99</v>
      </c>
      <c r="G500" s="421">
        <v>59.99</v>
      </c>
    </row>
    <row r="501" spans="1:7" ht="13" x14ac:dyDescent="0.15">
      <c r="A501" s="390"/>
      <c r="B501" s="368"/>
      <c r="C501" s="368"/>
      <c r="D501" s="416"/>
      <c r="E501" s="416"/>
      <c r="F501" s="416"/>
      <c r="G501" s="416"/>
    </row>
    <row r="502" spans="1:7" ht="13" x14ac:dyDescent="0.15">
      <c r="A502" s="390"/>
      <c r="B502" s="368"/>
      <c r="C502" s="368"/>
      <c r="D502" s="416"/>
      <c r="E502" s="416"/>
      <c r="F502" s="416"/>
      <c r="G502" s="416"/>
    </row>
    <row r="503" spans="1:7" ht="13" x14ac:dyDescent="0.15">
      <c r="A503" s="390"/>
      <c r="B503" s="368"/>
      <c r="C503" s="368"/>
      <c r="D503" s="420"/>
      <c r="E503" s="416"/>
      <c r="F503" s="416"/>
      <c r="G503" s="416"/>
    </row>
    <row r="504" spans="1:7" ht="1.5" customHeight="1" x14ac:dyDescent="0.15">
      <c r="A504" s="390"/>
      <c r="B504" s="378"/>
      <c r="C504" s="378"/>
      <c r="D504" s="199"/>
      <c r="E504" s="417"/>
      <c r="F504" s="417"/>
      <c r="G504" s="417"/>
    </row>
    <row r="505" spans="1:7" ht="13" x14ac:dyDescent="0.15">
      <c r="A505" s="390"/>
      <c r="B505" s="418" t="s">
        <v>768</v>
      </c>
      <c r="C505" s="418" t="s">
        <v>697</v>
      </c>
      <c r="D505" s="419">
        <v>29.99</v>
      </c>
      <c r="E505" s="415">
        <v>34.99</v>
      </c>
      <c r="F505" s="415">
        <v>29.99</v>
      </c>
      <c r="G505" s="415">
        <v>34.99</v>
      </c>
    </row>
    <row r="506" spans="1:7" ht="13" x14ac:dyDescent="0.15">
      <c r="A506" s="390"/>
      <c r="B506" s="368"/>
      <c r="C506" s="368"/>
      <c r="D506" s="416"/>
      <c r="E506" s="416"/>
      <c r="F506" s="416"/>
      <c r="G506" s="416"/>
    </row>
    <row r="507" spans="1:7" ht="13" x14ac:dyDescent="0.15">
      <c r="A507" s="390"/>
      <c r="B507" s="368"/>
      <c r="C507" s="368"/>
      <c r="D507" s="416"/>
      <c r="E507" s="416"/>
      <c r="F507" s="416"/>
      <c r="G507" s="416"/>
    </row>
    <row r="508" spans="1:7" ht="8.25" customHeight="1" x14ac:dyDescent="0.15">
      <c r="A508" s="390"/>
      <c r="B508" s="368"/>
      <c r="C508" s="368"/>
      <c r="D508" s="416"/>
      <c r="E508" s="416"/>
      <c r="F508" s="416"/>
      <c r="G508" s="416"/>
    </row>
    <row r="509" spans="1:7" ht="6.75" customHeight="1" x14ac:dyDescent="0.15">
      <c r="A509" s="390"/>
      <c r="B509" s="378"/>
      <c r="C509" s="378"/>
      <c r="D509" s="417"/>
      <c r="E509" s="417"/>
      <c r="F509" s="417"/>
      <c r="G509" s="417"/>
    </row>
    <row r="510" spans="1:7" ht="13" x14ac:dyDescent="0.15">
      <c r="A510" s="390"/>
      <c r="B510" s="418" t="s">
        <v>698</v>
      </c>
      <c r="C510" s="418" t="s">
        <v>699</v>
      </c>
      <c r="D510" s="419">
        <v>35.99</v>
      </c>
      <c r="E510" s="415">
        <v>35.99</v>
      </c>
      <c r="F510" s="415">
        <v>35.99</v>
      </c>
      <c r="G510" s="415">
        <v>35.99</v>
      </c>
    </row>
    <row r="511" spans="1:7" ht="13" x14ac:dyDescent="0.15">
      <c r="A511" s="390"/>
      <c r="B511" s="368"/>
      <c r="C511" s="368"/>
      <c r="D511" s="416"/>
      <c r="E511" s="416"/>
      <c r="F511" s="416"/>
      <c r="G511" s="416"/>
    </row>
    <row r="512" spans="1:7" ht="13" x14ac:dyDescent="0.15">
      <c r="A512" s="390"/>
      <c r="B512" s="368"/>
      <c r="C512" s="368"/>
      <c r="D512" s="416"/>
      <c r="E512" s="416"/>
      <c r="F512" s="416"/>
      <c r="G512" s="416"/>
    </row>
    <row r="513" spans="1:7" ht="13" x14ac:dyDescent="0.15">
      <c r="A513" s="390"/>
      <c r="B513" s="368"/>
      <c r="C513" s="368"/>
      <c r="D513" s="416"/>
      <c r="E513" s="416"/>
      <c r="F513" s="416"/>
      <c r="G513" s="416"/>
    </row>
    <row r="514" spans="1:7" ht="13" x14ac:dyDescent="0.15">
      <c r="A514" s="390"/>
      <c r="B514" s="368"/>
      <c r="C514" s="368"/>
      <c r="D514" s="420"/>
      <c r="E514" s="416"/>
      <c r="F514" s="416"/>
      <c r="G514" s="416"/>
    </row>
    <row r="515" spans="1:7" ht="1.5" customHeight="1" x14ac:dyDescent="0.15">
      <c r="A515" s="390"/>
      <c r="B515" s="378"/>
      <c r="C515" s="378"/>
      <c r="D515" s="199">
        <f>D510+34.99</f>
        <v>70.98</v>
      </c>
      <c r="E515" s="417"/>
      <c r="F515" s="417"/>
      <c r="G515" s="417"/>
    </row>
    <row r="516" spans="1:7" ht="13" x14ac:dyDescent="0.15">
      <c r="A516" s="390"/>
      <c r="B516" s="418" t="s">
        <v>700</v>
      </c>
      <c r="C516" s="418" t="s">
        <v>701</v>
      </c>
      <c r="D516" s="419">
        <v>21.98</v>
      </c>
      <c r="E516" s="415">
        <v>21.99</v>
      </c>
      <c r="F516" s="415">
        <v>21.98</v>
      </c>
      <c r="G516" s="415">
        <v>21.99</v>
      </c>
    </row>
    <row r="517" spans="1:7" ht="13" x14ac:dyDescent="0.15">
      <c r="A517" s="390"/>
      <c r="B517" s="368"/>
      <c r="C517" s="368"/>
      <c r="D517" s="416"/>
      <c r="E517" s="416"/>
      <c r="F517" s="416"/>
      <c r="G517" s="416"/>
    </row>
    <row r="518" spans="1:7" ht="13" x14ac:dyDescent="0.15">
      <c r="A518" s="390"/>
      <c r="B518" s="368"/>
      <c r="C518" s="368"/>
      <c r="D518" s="416"/>
      <c r="E518" s="416"/>
      <c r="F518" s="416"/>
      <c r="G518" s="416"/>
    </row>
    <row r="519" spans="1:7" ht="13" x14ac:dyDescent="0.15">
      <c r="A519" s="390"/>
      <c r="B519" s="368"/>
      <c r="C519" s="368"/>
      <c r="D519" s="420"/>
      <c r="E519" s="416"/>
      <c r="F519" s="416"/>
      <c r="G519" s="416"/>
    </row>
    <row r="520" spans="1:7" ht="1.5" customHeight="1" x14ac:dyDescent="0.15">
      <c r="A520" s="390"/>
      <c r="B520" s="368"/>
      <c r="C520" s="368"/>
      <c r="D520" s="200">
        <f>D516+24.99</f>
        <v>46.97</v>
      </c>
      <c r="E520" s="416"/>
      <c r="F520" s="416"/>
      <c r="G520" s="416"/>
    </row>
    <row r="521" spans="1:7" ht="1.5" customHeight="1" x14ac:dyDescent="0.15">
      <c r="A521" s="390"/>
      <c r="B521" s="378"/>
      <c r="C521" s="378"/>
      <c r="D521" s="199">
        <f>D516+34.99</f>
        <v>56.97</v>
      </c>
      <c r="E521" s="417"/>
      <c r="F521" s="417"/>
      <c r="G521" s="417"/>
    </row>
    <row r="522" spans="1:7" ht="39.75" customHeight="1" x14ac:dyDescent="0.15">
      <c r="A522" s="390"/>
      <c r="B522" s="201" t="s">
        <v>702</v>
      </c>
      <c r="C522" s="202" t="s">
        <v>703</v>
      </c>
      <c r="D522" s="203">
        <v>31</v>
      </c>
      <c r="E522" s="204">
        <v>30.99</v>
      </c>
      <c r="F522" s="204">
        <v>31</v>
      </c>
      <c r="G522" s="204">
        <v>30.99</v>
      </c>
    </row>
    <row r="523" spans="1:7" ht="36.75" customHeight="1" x14ac:dyDescent="0.15">
      <c r="A523" s="390"/>
      <c r="B523" s="201" t="s">
        <v>704</v>
      </c>
      <c r="C523" s="202" t="s">
        <v>705</v>
      </c>
      <c r="D523" s="205">
        <v>37.99</v>
      </c>
      <c r="E523" s="206">
        <v>37.99</v>
      </c>
      <c r="F523" s="206">
        <v>37.99</v>
      </c>
      <c r="G523" s="206">
        <v>37.99</v>
      </c>
    </row>
    <row r="524" spans="1:7" ht="42" customHeight="1" x14ac:dyDescent="0.15">
      <c r="A524" s="391"/>
      <c r="B524" s="201" t="s">
        <v>706</v>
      </c>
      <c r="C524" s="202" t="s">
        <v>707</v>
      </c>
      <c r="D524" s="207">
        <v>42.99</v>
      </c>
      <c r="E524" s="206">
        <v>42.99</v>
      </c>
      <c r="F524" s="206">
        <v>42.99</v>
      </c>
      <c r="G524" s="206">
        <v>42.99</v>
      </c>
    </row>
  </sheetData>
  <mergeCells count="119">
    <mergeCell ref="E1:E2"/>
    <mergeCell ref="F1:F2"/>
    <mergeCell ref="G1:G2"/>
    <mergeCell ref="A3:A19"/>
    <mergeCell ref="B3:B15"/>
    <mergeCell ref="A20:A37"/>
    <mergeCell ref="B34:B35"/>
    <mergeCell ref="B36:B37"/>
    <mergeCell ref="A66:A68"/>
    <mergeCell ref="A69:A72"/>
    <mergeCell ref="A73:A80"/>
    <mergeCell ref="A81:A111"/>
    <mergeCell ref="B18:B19"/>
    <mergeCell ref="B20:B24"/>
    <mergeCell ref="B25:B30"/>
    <mergeCell ref="B31:B33"/>
    <mergeCell ref="D1:D2"/>
    <mergeCell ref="A38:A44"/>
    <mergeCell ref="B38:B43"/>
    <mergeCell ref="A45:A47"/>
    <mergeCell ref="B45:B46"/>
    <mergeCell ref="B48:B49"/>
    <mergeCell ref="B53:B56"/>
    <mergeCell ref="B57:B58"/>
    <mergeCell ref="B59:B60"/>
    <mergeCell ref="B64:B65"/>
    <mergeCell ref="A48:A52"/>
    <mergeCell ref="A53:A61"/>
    <mergeCell ref="A62:A65"/>
    <mergeCell ref="B69:B70"/>
    <mergeCell ref="B71:B72"/>
    <mergeCell ref="B79:B80"/>
    <mergeCell ref="B99:B100"/>
    <mergeCell ref="B101:B102"/>
    <mergeCell ref="B103:B104"/>
    <mergeCell ref="B105:B106"/>
    <mergeCell ref="B107:B108"/>
    <mergeCell ref="B116:B118"/>
    <mergeCell ref="B81:B82"/>
    <mergeCell ref="B83:B85"/>
    <mergeCell ref="B86:B88"/>
    <mergeCell ref="B89:B91"/>
    <mergeCell ref="B92:B93"/>
    <mergeCell ref="B94:B95"/>
    <mergeCell ref="B97:B98"/>
    <mergeCell ref="B194:B195"/>
    <mergeCell ref="B196:B202"/>
    <mergeCell ref="B203:B204"/>
    <mergeCell ref="B205:B213"/>
    <mergeCell ref="B214:B223"/>
    <mergeCell ref="A112:A135"/>
    <mergeCell ref="A136:A146"/>
    <mergeCell ref="A147:A223"/>
    <mergeCell ref="B147:B157"/>
    <mergeCell ref="B158:B161"/>
    <mergeCell ref="B162:B164"/>
    <mergeCell ref="B165:B169"/>
    <mergeCell ref="B170:B173"/>
    <mergeCell ref="B174:B181"/>
    <mergeCell ref="B182:B188"/>
    <mergeCell ref="B189:B190"/>
    <mergeCell ref="B191:B193"/>
    <mergeCell ref="G500:G504"/>
    <mergeCell ref="E510:E515"/>
    <mergeCell ref="F510:F515"/>
    <mergeCell ref="G510:G515"/>
    <mergeCell ref="B505:B509"/>
    <mergeCell ref="C505:C509"/>
    <mergeCell ref="D505:D509"/>
    <mergeCell ref="E505:E509"/>
    <mergeCell ref="F505:F509"/>
    <mergeCell ref="G505:G509"/>
    <mergeCell ref="B510:B515"/>
    <mergeCell ref="C510:C515"/>
    <mergeCell ref="D510:D514"/>
    <mergeCell ref="B500:B504"/>
    <mergeCell ref="C500:C504"/>
    <mergeCell ref="D500:D503"/>
    <mergeCell ref="G516:G521"/>
    <mergeCell ref="B243:B248"/>
    <mergeCell ref="B249:B250"/>
    <mergeCell ref="A249:A262"/>
    <mergeCell ref="A263:A329"/>
    <mergeCell ref="A330:A334"/>
    <mergeCell ref="A347:A407"/>
    <mergeCell ref="A408:A461"/>
    <mergeCell ref="A500:A524"/>
    <mergeCell ref="A224:A248"/>
    <mergeCell ref="B224:B227"/>
    <mergeCell ref="B228:B230"/>
    <mergeCell ref="B231:B232"/>
    <mergeCell ref="B233:B234"/>
    <mergeCell ref="B235:B242"/>
    <mergeCell ref="B256:B262"/>
    <mergeCell ref="B251:B253"/>
    <mergeCell ref="B254:B255"/>
    <mergeCell ref="B263:B272"/>
    <mergeCell ref="B273:B276"/>
    <mergeCell ref="B277:B281"/>
    <mergeCell ref="B282:B284"/>
    <mergeCell ref="B285:B292"/>
    <mergeCell ref="E500:E504"/>
    <mergeCell ref="E516:E521"/>
    <mergeCell ref="F516:F521"/>
    <mergeCell ref="B293:B300"/>
    <mergeCell ref="B301:B302"/>
    <mergeCell ref="B303:B305"/>
    <mergeCell ref="B306:B309"/>
    <mergeCell ref="B310:B311"/>
    <mergeCell ref="B312:B313"/>
    <mergeCell ref="B314:B318"/>
    <mergeCell ref="C516:C521"/>
    <mergeCell ref="D516:D519"/>
    <mergeCell ref="B516:B521"/>
    <mergeCell ref="F500:F504"/>
    <mergeCell ref="B319:B321"/>
    <mergeCell ref="B322:B325"/>
    <mergeCell ref="B326:B329"/>
    <mergeCell ref="B330:B3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I12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" defaultRowHeight="15" customHeight="1" x14ac:dyDescent="0.15"/>
  <cols>
    <col min="1" max="1" width="48.6640625" customWidth="1"/>
    <col min="2" max="2" width="33.5" customWidth="1"/>
    <col min="3" max="3" width="35.83203125" customWidth="1"/>
    <col min="4" max="4" width="33.33203125" customWidth="1"/>
    <col min="6" max="6" width="16.6640625" customWidth="1"/>
    <col min="7" max="7" width="18.5" customWidth="1"/>
  </cols>
  <sheetData>
    <row r="1" spans="1:7" ht="15" customHeight="1" x14ac:dyDescent="0.15">
      <c r="A1" s="208" t="s">
        <v>714</v>
      </c>
      <c r="B1" s="209"/>
      <c r="C1" s="210" t="s">
        <v>769</v>
      </c>
      <c r="D1" s="210" t="s">
        <v>770</v>
      </c>
      <c r="E1" s="210" t="s">
        <v>771</v>
      </c>
      <c r="F1" s="210" t="s">
        <v>772</v>
      </c>
      <c r="G1" s="211" t="s">
        <v>773</v>
      </c>
    </row>
    <row r="2" spans="1:7" ht="15" customHeight="1" x14ac:dyDescent="0.15">
      <c r="A2" s="440" t="s">
        <v>774</v>
      </c>
      <c r="B2" s="104" t="s">
        <v>775</v>
      </c>
      <c r="C2" s="212" t="s">
        <v>776</v>
      </c>
      <c r="D2" s="212"/>
      <c r="E2" s="213">
        <v>13.99</v>
      </c>
      <c r="F2" s="213">
        <f t="shared" ref="F2:F126" si="0">E2*1.04</f>
        <v>14.5496</v>
      </c>
      <c r="G2" s="200">
        <f t="shared" ref="G2:G126" si="1">E2*1.25</f>
        <v>17.487500000000001</v>
      </c>
    </row>
    <row r="3" spans="1:7" ht="15" customHeight="1" x14ac:dyDescent="0.15">
      <c r="A3" s="380"/>
      <c r="B3" s="214" t="s">
        <v>777</v>
      </c>
      <c r="C3" s="215" t="s">
        <v>778</v>
      </c>
      <c r="D3" s="215"/>
      <c r="E3" s="216">
        <v>12.99</v>
      </c>
      <c r="F3" s="216">
        <f t="shared" si="0"/>
        <v>13.509600000000001</v>
      </c>
      <c r="G3" s="217">
        <f t="shared" si="1"/>
        <v>16.237500000000001</v>
      </c>
    </row>
    <row r="4" spans="1:7" ht="15" customHeight="1" x14ac:dyDescent="0.15">
      <c r="A4" s="380"/>
      <c r="B4" s="104" t="s">
        <v>779</v>
      </c>
      <c r="C4" s="212" t="s">
        <v>780</v>
      </c>
      <c r="D4" s="212"/>
      <c r="E4" s="213">
        <v>8.99</v>
      </c>
      <c r="F4" s="213">
        <f t="shared" si="0"/>
        <v>9.3496000000000006</v>
      </c>
      <c r="G4" s="200">
        <f t="shared" si="1"/>
        <v>11.237500000000001</v>
      </c>
    </row>
    <row r="5" spans="1:7" ht="15" customHeight="1" x14ac:dyDescent="0.15">
      <c r="A5" s="380"/>
      <c r="B5" s="104" t="s">
        <v>781</v>
      </c>
      <c r="C5" s="212" t="s">
        <v>782</v>
      </c>
      <c r="D5" s="212"/>
      <c r="E5" s="213">
        <v>7.99</v>
      </c>
      <c r="F5" s="213">
        <f t="shared" si="0"/>
        <v>8.3095999999999997</v>
      </c>
      <c r="G5" s="200">
        <f t="shared" si="1"/>
        <v>9.9875000000000007</v>
      </c>
    </row>
    <row r="6" spans="1:7" ht="15" customHeight="1" x14ac:dyDescent="0.15">
      <c r="A6" s="380"/>
      <c r="B6" s="104" t="s">
        <v>783</v>
      </c>
      <c r="C6" s="212" t="s">
        <v>784</v>
      </c>
      <c r="D6" s="212"/>
      <c r="E6" s="213">
        <v>7.99</v>
      </c>
      <c r="F6" s="213">
        <f t="shared" si="0"/>
        <v>8.3095999999999997</v>
      </c>
      <c r="G6" s="200">
        <f t="shared" si="1"/>
        <v>9.9875000000000007</v>
      </c>
    </row>
    <row r="7" spans="1:7" ht="15" customHeight="1" x14ac:dyDescent="0.15">
      <c r="A7" s="380"/>
      <c r="B7" s="104" t="s">
        <v>785</v>
      </c>
      <c r="C7" s="212" t="s">
        <v>786</v>
      </c>
      <c r="D7" s="212"/>
      <c r="E7" s="213">
        <v>5.99</v>
      </c>
      <c r="F7" s="213">
        <f t="shared" si="0"/>
        <v>6.2296000000000005</v>
      </c>
      <c r="G7" s="200">
        <f t="shared" si="1"/>
        <v>7.4875000000000007</v>
      </c>
    </row>
    <row r="8" spans="1:7" ht="15" customHeight="1" x14ac:dyDescent="0.15">
      <c r="A8" s="380"/>
      <c r="B8" s="214" t="s">
        <v>787</v>
      </c>
      <c r="C8" s="215" t="s">
        <v>788</v>
      </c>
      <c r="D8" s="215"/>
      <c r="E8" s="216">
        <v>7.99</v>
      </c>
      <c r="F8" s="213">
        <f t="shared" si="0"/>
        <v>8.3095999999999997</v>
      </c>
      <c r="G8" s="200">
        <f t="shared" si="1"/>
        <v>9.9875000000000007</v>
      </c>
    </row>
    <row r="9" spans="1:7" ht="15" customHeight="1" x14ac:dyDescent="0.15">
      <c r="A9" s="381"/>
      <c r="B9" s="218" t="s">
        <v>789</v>
      </c>
      <c r="C9" s="219"/>
      <c r="D9" s="219"/>
      <c r="E9" s="220">
        <v>6.99</v>
      </c>
      <c r="F9" s="221">
        <f t="shared" si="0"/>
        <v>7.2696000000000005</v>
      </c>
      <c r="G9" s="222">
        <f t="shared" si="1"/>
        <v>8.7375000000000007</v>
      </c>
    </row>
    <row r="10" spans="1:7" ht="15" customHeight="1" x14ac:dyDescent="0.15">
      <c r="A10" s="441" t="s">
        <v>790</v>
      </c>
      <c r="B10" s="442" t="s">
        <v>791</v>
      </c>
      <c r="C10" s="223"/>
      <c r="D10" s="223"/>
      <c r="E10" s="224">
        <v>9.99</v>
      </c>
      <c r="F10" s="224">
        <f t="shared" si="0"/>
        <v>10.3896</v>
      </c>
      <c r="G10" s="225">
        <f t="shared" si="1"/>
        <v>12.487500000000001</v>
      </c>
    </row>
    <row r="11" spans="1:7" ht="15" customHeight="1" x14ac:dyDescent="0.15">
      <c r="A11" s="383"/>
      <c r="B11" s="387"/>
      <c r="C11" s="215"/>
      <c r="D11" s="212" t="s">
        <v>792</v>
      </c>
      <c r="E11" s="213">
        <f>E10+3</f>
        <v>12.99</v>
      </c>
      <c r="F11" s="213">
        <f t="shared" si="0"/>
        <v>13.509600000000001</v>
      </c>
      <c r="G11" s="200">
        <f t="shared" si="1"/>
        <v>16.237500000000001</v>
      </c>
    </row>
    <row r="12" spans="1:7" ht="15" customHeight="1" x14ac:dyDescent="0.15">
      <c r="A12" s="383"/>
      <c r="B12" s="388"/>
      <c r="C12" s="215"/>
      <c r="D12" s="212" t="s">
        <v>793</v>
      </c>
      <c r="E12" s="213">
        <f>E10+4</f>
        <v>13.99</v>
      </c>
      <c r="F12" s="213">
        <f t="shared" si="0"/>
        <v>14.5496</v>
      </c>
      <c r="G12" s="200">
        <f t="shared" si="1"/>
        <v>17.487500000000001</v>
      </c>
    </row>
    <row r="13" spans="1:7" ht="15" customHeight="1" x14ac:dyDescent="0.15">
      <c r="A13" s="383"/>
      <c r="B13" s="434" t="s">
        <v>794</v>
      </c>
      <c r="C13" s="212" t="s">
        <v>795</v>
      </c>
      <c r="D13" s="212" t="s">
        <v>796</v>
      </c>
      <c r="E13" s="213">
        <v>4.99</v>
      </c>
      <c r="F13" s="213">
        <f t="shared" si="0"/>
        <v>5.1896000000000004</v>
      </c>
      <c r="G13" s="200">
        <f t="shared" si="1"/>
        <v>6.2375000000000007</v>
      </c>
    </row>
    <row r="14" spans="1:7" ht="15" customHeight="1" x14ac:dyDescent="0.15">
      <c r="A14" s="383"/>
      <c r="B14" s="388"/>
      <c r="C14" s="212"/>
      <c r="D14" s="212" t="s">
        <v>797</v>
      </c>
      <c r="E14" s="213">
        <v>8.99</v>
      </c>
      <c r="F14" s="213">
        <f t="shared" si="0"/>
        <v>9.3496000000000006</v>
      </c>
      <c r="G14" s="200">
        <f t="shared" si="1"/>
        <v>11.237500000000001</v>
      </c>
    </row>
    <row r="15" spans="1:7" ht="15" customHeight="1" x14ac:dyDescent="0.15">
      <c r="A15" s="383"/>
      <c r="B15" s="104" t="s">
        <v>798</v>
      </c>
      <c r="C15" s="227" t="s">
        <v>799</v>
      </c>
      <c r="D15" s="212"/>
      <c r="E15" s="213">
        <v>8</v>
      </c>
      <c r="F15" s="213">
        <f t="shared" si="0"/>
        <v>8.32</v>
      </c>
      <c r="G15" s="200">
        <f t="shared" si="1"/>
        <v>10</v>
      </c>
    </row>
    <row r="16" spans="1:7" ht="15" customHeight="1" x14ac:dyDescent="0.15">
      <c r="A16" s="384"/>
      <c r="B16" s="226" t="s">
        <v>800</v>
      </c>
      <c r="C16" s="228" t="s">
        <v>801</v>
      </c>
      <c r="D16" s="228"/>
      <c r="E16" s="221">
        <v>13.99</v>
      </c>
      <c r="F16" s="221">
        <f t="shared" si="0"/>
        <v>14.5496</v>
      </c>
      <c r="G16" s="222">
        <f t="shared" si="1"/>
        <v>17.487500000000001</v>
      </c>
    </row>
    <row r="17" spans="1:7" ht="15" customHeight="1" x14ac:dyDescent="0.15">
      <c r="A17" s="440" t="s">
        <v>802</v>
      </c>
      <c r="B17" s="100" t="s">
        <v>803</v>
      </c>
      <c r="C17" s="223" t="s">
        <v>804</v>
      </c>
      <c r="D17" s="223"/>
      <c r="E17" s="224">
        <v>14.5</v>
      </c>
      <c r="F17" s="224">
        <f t="shared" si="0"/>
        <v>15.08</v>
      </c>
      <c r="G17" s="225">
        <f t="shared" si="1"/>
        <v>18.125</v>
      </c>
    </row>
    <row r="18" spans="1:7" ht="15" customHeight="1" x14ac:dyDescent="0.15">
      <c r="A18" s="380"/>
      <c r="B18" s="104" t="s">
        <v>805</v>
      </c>
      <c r="C18" s="212" t="s">
        <v>806</v>
      </c>
      <c r="D18" s="212"/>
      <c r="E18" s="213">
        <v>14.5</v>
      </c>
      <c r="F18" s="213">
        <f t="shared" si="0"/>
        <v>15.08</v>
      </c>
      <c r="G18" s="200">
        <f t="shared" si="1"/>
        <v>18.125</v>
      </c>
    </row>
    <row r="19" spans="1:7" ht="15" customHeight="1" x14ac:dyDescent="0.15">
      <c r="A19" s="380"/>
      <c r="B19" s="434" t="s">
        <v>807</v>
      </c>
      <c r="C19" s="212"/>
      <c r="D19" s="212"/>
      <c r="E19" s="213">
        <v>14.5</v>
      </c>
      <c r="F19" s="213">
        <f t="shared" si="0"/>
        <v>15.08</v>
      </c>
      <c r="G19" s="200">
        <f t="shared" si="1"/>
        <v>18.125</v>
      </c>
    </row>
    <row r="20" spans="1:7" ht="15" customHeight="1" x14ac:dyDescent="0.15">
      <c r="A20" s="381"/>
      <c r="B20" s="435"/>
      <c r="C20" s="229" t="s">
        <v>808</v>
      </c>
      <c r="D20" s="229"/>
      <c r="E20" s="230">
        <f>E19+2</f>
        <v>16.5</v>
      </c>
      <c r="F20" s="230">
        <f t="shared" si="0"/>
        <v>17.16</v>
      </c>
      <c r="G20" s="199">
        <f t="shared" si="1"/>
        <v>20.625</v>
      </c>
    </row>
    <row r="21" spans="1:7" ht="15" customHeight="1" x14ac:dyDescent="0.15">
      <c r="A21" s="439" t="s">
        <v>809</v>
      </c>
      <c r="B21" s="100" t="s">
        <v>810</v>
      </c>
      <c r="C21" s="223" t="s">
        <v>811</v>
      </c>
      <c r="D21" s="223"/>
      <c r="E21" s="224">
        <v>10.99</v>
      </c>
      <c r="F21" s="224">
        <f t="shared" si="0"/>
        <v>11.429600000000001</v>
      </c>
      <c r="G21" s="225">
        <f t="shared" si="1"/>
        <v>13.737500000000001</v>
      </c>
    </row>
    <row r="22" spans="1:7" ht="15" customHeight="1" x14ac:dyDescent="0.15">
      <c r="A22" s="381"/>
      <c r="B22" s="231" t="s">
        <v>812</v>
      </c>
      <c r="C22" s="232" t="s">
        <v>813</v>
      </c>
      <c r="D22" s="232"/>
      <c r="E22" s="233">
        <v>10.99</v>
      </c>
      <c r="F22" s="230">
        <f t="shared" si="0"/>
        <v>11.429600000000001</v>
      </c>
      <c r="G22" s="199">
        <f t="shared" si="1"/>
        <v>13.737500000000001</v>
      </c>
    </row>
    <row r="23" spans="1:7" ht="15" customHeight="1" x14ac:dyDescent="0.15">
      <c r="A23" s="441" t="s">
        <v>814</v>
      </c>
      <c r="B23" s="100" t="s">
        <v>815</v>
      </c>
      <c r="C23" s="223" t="s">
        <v>816</v>
      </c>
      <c r="D23" s="223"/>
      <c r="E23" s="234">
        <v>24.99</v>
      </c>
      <c r="F23" s="224">
        <f t="shared" si="0"/>
        <v>25.989599999999999</v>
      </c>
      <c r="G23" s="225">
        <f t="shared" si="1"/>
        <v>31.237499999999997</v>
      </c>
    </row>
    <row r="24" spans="1:7" ht="15" customHeight="1" x14ac:dyDescent="0.15">
      <c r="A24" s="383"/>
      <c r="B24" s="104" t="s">
        <v>817</v>
      </c>
      <c r="C24" s="212" t="s">
        <v>818</v>
      </c>
      <c r="D24" s="212"/>
      <c r="E24" s="235">
        <v>19.989999999999998</v>
      </c>
      <c r="F24" s="213">
        <f t="shared" si="0"/>
        <v>20.7896</v>
      </c>
      <c r="G24" s="200">
        <f t="shared" si="1"/>
        <v>24.987499999999997</v>
      </c>
    </row>
    <row r="25" spans="1:7" ht="15" customHeight="1" x14ac:dyDescent="0.15">
      <c r="A25" s="383"/>
      <c r="B25" s="104" t="s">
        <v>234</v>
      </c>
      <c r="C25" s="212" t="s">
        <v>819</v>
      </c>
      <c r="D25" s="212"/>
      <c r="E25" s="213">
        <v>18.989999999999998</v>
      </c>
      <c r="F25" s="213">
        <f t="shared" si="0"/>
        <v>19.749599999999997</v>
      </c>
      <c r="G25" s="200">
        <f t="shared" si="1"/>
        <v>23.737499999999997</v>
      </c>
    </row>
    <row r="26" spans="1:7" ht="15" customHeight="1" x14ac:dyDescent="0.15">
      <c r="A26" s="383"/>
      <c r="B26" s="104" t="s">
        <v>820</v>
      </c>
      <c r="C26" s="212" t="s">
        <v>821</v>
      </c>
      <c r="D26" s="212"/>
      <c r="E26" s="235">
        <v>16.989999999999998</v>
      </c>
      <c r="F26" s="213">
        <f t="shared" si="0"/>
        <v>17.669599999999999</v>
      </c>
      <c r="G26" s="200">
        <f t="shared" si="1"/>
        <v>21.237499999999997</v>
      </c>
    </row>
    <row r="27" spans="1:7" ht="15" customHeight="1" x14ac:dyDescent="0.15">
      <c r="A27" s="383"/>
      <c r="B27" s="104" t="s">
        <v>822</v>
      </c>
      <c r="C27" s="212" t="s">
        <v>823</v>
      </c>
      <c r="D27" s="212"/>
      <c r="E27" s="235">
        <v>16.989999999999998</v>
      </c>
      <c r="F27" s="213">
        <f t="shared" si="0"/>
        <v>17.669599999999999</v>
      </c>
      <c r="G27" s="200">
        <f t="shared" si="1"/>
        <v>21.237499999999997</v>
      </c>
    </row>
    <row r="28" spans="1:7" ht="15" customHeight="1" x14ac:dyDescent="0.15">
      <c r="A28" s="383"/>
      <c r="B28" s="104" t="s">
        <v>824</v>
      </c>
      <c r="C28" s="212" t="s">
        <v>825</v>
      </c>
      <c r="D28" s="212"/>
      <c r="E28" s="235">
        <v>14.99</v>
      </c>
      <c r="F28" s="213">
        <f t="shared" si="0"/>
        <v>15.589600000000001</v>
      </c>
      <c r="G28" s="200">
        <f t="shared" si="1"/>
        <v>18.737500000000001</v>
      </c>
    </row>
    <row r="29" spans="1:7" ht="15" customHeight="1" x14ac:dyDescent="0.15">
      <c r="A29" s="383"/>
      <c r="B29" s="104" t="s">
        <v>33</v>
      </c>
      <c r="C29" s="212" t="s">
        <v>826</v>
      </c>
      <c r="D29" s="212"/>
      <c r="E29" s="213">
        <v>12.99</v>
      </c>
      <c r="F29" s="213">
        <f t="shared" si="0"/>
        <v>13.509600000000001</v>
      </c>
      <c r="G29" s="200">
        <f t="shared" si="1"/>
        <v>16.237500000000001</v>
      </c>
    </row>
    <row r="30" spans="1:7" ht="15" customHeight="1" x14ac:dyDescent="0.15">
      <c r="A30" s="383"/>
      <c r="B30" s="104" t="s">
        <v>827</v>
      </c>
      <c r="C30" s="212" t="s">
        <v>828</v>
      </c>
      <c r="D30" s="212"/>
      <c r="E30" s="213">
        <v>12.99</v>
      </c>
      <c r="F30" s="213">
        <f t="shared" si="0"/>
        <v>13.509600000000001</v>
      </c>
      <c r="G30" s="200">
        <f t="shared" si="1"/>
        <v>16.237500000000001</v>
      </c>
    </row>
    <row r="31" spans="1:7" ht="15" customHeight="1" x14ac:dyDescent="0.15">
      <c r="A31" s="383"/>
      <c r="B31" s="434" t="s">
        <v>829</v>
      </c>
      <c r="C31" s="212" t="s">
        <v>830</v>
      </c>
      <c r="D31" s="212"/>
      <c r="E31" s="213">
        <v>12.99</v>
      </c>
      <c r="F31" s="213">
        <f t="shared" si="0"/>
        <v>13.509600000000001</v>
      </c>
      <c r="G31" s="200">
        <f t="shared" si="1"/>
        <v>16.237500000000001</v>
      </c>
    </row>
    <row r="32" spans="1:7" ht="15" customHeight="1" x14ac:dyDescent="0.15">
      <c r="A32" s="383"/>
      <c r="B32" s="387"/>
      <c r="C32" s="212"/>
      <c r="D32" s="212" t="s">
        <v>831</v>
      </c>
      <c r="E32" s="213">
        <f>E31+1</f>
        <v>13.99</v>
      </c>
      <c r="F32" s="213">
        <f t="shared" si="0"/>
        <v>14.5496</v>
      </c>
      <c r="G32" s="200">
        <f t="shared" si="1"/>
        <v>17.487500000000001</v>
      </c>
    </row>
    <row r="33" spans="1:7" ht="15" customHeight="1" x14ac:dyDescent="0.15">
      <c r="A33" s="383"/>
      <c r="B33" s="388"/>
      <c r="C33" s="212"/>
      <c r="D33" s="212" t="s">
        <v>832</v>
      </c>
      <c r="E33" s="213">
        <f>E31+2</f>
        <v>14.99</v>
      </c>
      <c r="F33" s="213">
        <f t="shared" si="0"/>
        <v>15.589600000000001</v>
      </c>
      <c r="G33" s="200">
        <f t="shared" si="1"/>
        <v>18.737500000000001</v>
      </c>
    </row>
    <row r="34" spans="1:7" ht="15" customHeight="1" x14ac:dyDescent="0.15">
      <c r="A34" s="383"/>
      <c r="B34" s="434" t="s">
        <v>833</v>
      </c>
      <c r="C34" s="212" t="s">
        <v>834</v>
      </c>
      <c r="D34" s="212"/>
      <c r="E34" s="213">
        <v>12.99</v>
      </c>
      <c r="F34" s="213">
        <f t="shared" si="0"/>
        <v>13.509600000000001</v>
      </c>
      <c r="G34" s="200">
        <f t="shared" si="1"/>
        <v>16.237500000000001</v>
      </c>
    </row>
    <row r="35" spans="1:7" ht="15" customHeight="1" x14ac:dyDescent="0.15">
      <c r="A35" s="383"/>
      <c r="B35" s="387"/>
      <c r="C35" s="212"/>
      <c r="D35" s="212" t="s">
        <v>831</v>
      </c>
      <c r="E35" s="213">
        <f>E34+1</f>
        <v>13.99</v>
      </c>
      <c r="F35" s="213">
        <f t="shared" si="0"/>
        <v>14.5496</v>
      </c>
      <c r="G35" s="200">
        <f t="shared" si="1"/>
        <v>17.487500000000001</v>
      </c>
    </row>
    <row r="36" spans="1:7" ht="15" customHeight="1" x14ac:dyDescent="0.15">
      <c r="A36" s="383"/>
      <c r="B36" s="388"/>
      <c r="C36" s="212"/>
      <c r="D36" s="212" t="s">
        <v>832</v>
      </c>
      <c r="E36" s="213">
        <f>E34+2</f>
        <v>14.99</v>
      </c>
      <c r="F36" s="213">
        <f t="shared" si="0"/>
        <v>15.589600000000001</v>
      </c>
      <c r="G36" s="200">
        <f t="shared" si="1"/>
        <v>18.737500000000001</v>
      </c>
    </row>
    <row r="37" spans="1:7" ht="15" customHeight="1" x14ac:dyDescent="0.15">
      <c r="A37" s="383"/>
      <c r="B37" s="104" t="s">
        <v>835</v>
      </c>
      <c r="C37" s="212" t="s">
        <v>836</v>
      </c>
      <c r="D37" s="212"/>
      <c r="E37" s="213">
        <v>10.99</v>
      </c>
      <c r="F37" s="213">
        <f t="shared" si="0"/>
        <v>11.429600000000001</v>
      </c>
      <c r="G37" s="200">
        <f t="shared" si="1"/>
        <v>13.737500000000001</v>
      </c>
    </row>
    <row r="38" spans="1:7" ht="15" customHeight="1" x14ac:dyDescent="0.15">
      <c r="A38" s="384"/>
      <c r="B38" s="226" t="s">
        <v>837</v>
      </c>
      <c r="C38" s="228" t="s">
        <v>838</v>
      </c>
      <c r="D38" s="228"/>
      <c r="E38" s="221">
        <v>15.99</v>
      </c>
      <c r="F38" s="221">
        <f t="shared" si="0"/>
        <v>16.6296</v>
      </c>
      <c r="G38" s="222">
        <f t="shared" si="1"/>
        <v>19.987500000000001</v>
      </c>
    </row>
    <row r="39" spans="1:7" ht="15" customHeight="1" x14ac:dyDescent="0.15">
      <c r="A39" s="439" t="s">
        <v>839</v>
      </c>
      <c r="B39" s="100" t="s">
        <v>661</v>
      </c>
      <c r="C39" s="100" t="s">
        <v>840</v>
      </c>
      <c r="D39" s="100"/>
      <c r="E39" s="234">
        <v>34.99</v>
      </c>
      <c r="F39" s="224">
        <f t="shared" si="0"/>
        <v>36.389600000000002</v>
      </c>
      <c r="G39" s="225">
        <f t="shared" si="1"/>
        <v>43.737500000000004</v>
      </c>
    </row>
    <row r="40" spans="1:7" ht="15" customHeight="1" x14ac:dyDescent="0.15">
      <c r="A40" s="380"/>
      <c r="B40" s="104" t="s">
        <v>841</v>
      </c>
      <c r="C40" s="104" t="s">
        <v>842</v>
      </c>
      <c r="D40" s="104"/>
      <c r="E40" s="235">
        <v>24.99</v>
      </c>
      <c r="F40" s="213">
        <f t="shared" si="0"/>
        <v>25.989599999999999</v>
      </c>
      <c r="G40" s="200">
        <f t="shared" si="1"/>
        <v>31.237499999999997</v>
      </c>
    </row>
    <row r="41" spans="1:7" ht="15" customHeight="1" x14ac:dyDescent="0.15">
      <c r="A41" s="380"/>
      <c r="B41" s="104" t="s">
        <v>843</v>
      </c>
      <c r="C41" s="104" t="s">
        <v>844</v>
      </c>
      <c r="D41" s="104"/>
      <c r="E41" s="235">
        <v>24.99</v>
      </c>
      <c r="F41" s="213">
        <f t="shared" si="0"/>
        <v>25.989599999999999</v>
      </c>
      <c r="G41" s="200">
        <f t="shared" si="1"/>
        <v>31.237499999999997</v>
      </c>
    </row>
    <row r="42" spans="1:7" ht="15" customHeight="1" x14ac:dyDescent="0.15">
      <c r="A42" s="380"/>
      <c r="B42" s="104" t="s">
        <v>845</v>
      </c>
      <c r="C42" s="212" t="s">
        <v>846</v>
      </c>
      <c r="D42" s="212"/>
      <c r="E42" s="213">
        <v>17.989999999999998</v>
      </c>
      <c r="F42" s="213">
        <f t="shared" si="0"/>
        <v>18.709599999999998</v>
      </c>
      <c r="G42" s="200">
        <f t="shared" si="1"/>
        <v>22.487499999999997</v>
      </c>
    </row>
    <row r="43" spans="1:7" ht="15" customHeight="1" x14ac:dyDescent="0.15">
      <c r="A43" s="380"/>
      <c r="B43" s="104" t="s">
        <v>847</v>
      </c>
      <c r="C43" s="212" t="s">
        <v>848</v>
      </c>
      <c r="D43" s="212"/>
      <c r="E43" s="213">
        <v>17.989999999999998</v>
      </c>
      <c r="F43" s="213">
        <f t="shared" si="0"/>
        <v>18.709599999999998</v>
      </c>
      <c r="G43" s="200">
        <f t="shared" si="1"/>
        <v>22.487499999999997</v>
      </c>
    </row>
    <row r="44" spans="1:7" ht="15" customHeight="1" x14ac:dyDescent="0.15">
      <c r="A44" s="380"/>
      <c r="B44" s="104" t="s">
        <v>849</v>
      </c>
      <c r="C44" s="212" t="s">
        <v>850</v>
      </c>
      <c r="D44" s="212"/>
      <c r="E44" s="213">
        <v>14.99</v>
      </c>
      <c r="F44" s="213">
        <f t="shared" si="0"/>
        <v>15.589600000000001</v>
      </c>
      <c r="G44" s="200">
        <f t="shared" si="1"/>
        <v>18.737500000000001</v>
      </c>
    </row>
    <row r="45" spans="1:7" ht="15" customHeight="1" x14ac:dyDescent="0.15">
      <c r="A45" s="381"/>
      <c r="B45" s="226" t="s">
        <v>851</v>
      </c>
      <c r="C45" s="228" t="s">
        <v>852</v>
      </c>
      <c r="D45" s="228"/>
      <c r="E45" s="221">
        <v>13.99</v>
      </c>
      <c r="F45" s="221">
        <f t="shared" si="0"/>
        <v>14.5496</v>
      </c>
      <c r="G45" s="222">
        <f t="shared" si="1"/>
        <v>17.487500000000001</v>
      </c>
    </row>
    <row r="46" spans="1:7" ht="15" customHeight="1" x14ac:dyDescent="0.15">
      <c r="A46" s="439" t="s">
        <v>853</v>
      </c>
      <c r="B46" s="442" t="s">
        <v>854</v>
      </c>
      <c r="C46" s="223" t="s">
        <v>855</v>
      </c>
      <c r="D46" s="100"/>
      <c r="E46" s="224">
        <v>14.99</v>
      </c>
      <c r="F46" s="224">
        <f t="shared" si="0"/>
        <v>15.589600000000001</v>
      </c>
      <c r="G46" s="225">
        <f t="shared" si="1"/>
        <v>18.737500000000001</v>
      </c>
    </row>
    <row r="47" spans="1:7" ht="13" x14ac:dyDescent="0.15">
      <c r="A47" s="380"/>
      <c r="B47" s="388"/>
      <c r="C47" s="212"/>
      <c r="D47" s="212" t="s">
        <v>856</v>
      </c>
      <c r="E47" s="213">
        <f>E46+1.99</f>
        <v>16.98</v>
      </c>
      <c r="F47" s="213">
        <f t="shared" si="0"/>
        <v>17.659200000000002</v>
      </c>
      <c r="G47" s="200">
        <f t="shared" si="1"/>
        <v>21.225000000000001</v>
      </c>
    </row>
    <row r="48" spans="1:7" ht="13" x14ac:dyDescent="0.15">
      <c r="A48" s="380"/>
      <c r="B48" s="434" t="s">
        <v>857</v>
      </c>
      <c r="C48" s="212" t="s">
        <v>858</v>
      </c>
      <c r="D48" s="212"/>
      <c r="E48" s="213">
        <v>14.99</v>
      </c>
      <c r="F48" s="213">
        <f t="shared" si="0"/>
        <v>15.589600000000001</v>
      </c>
      <c r="G48" s="200">
        <f t="shared" si="1"/>
        <v>18.737500000000001</v>
      </c>
    </row>
    <row r="49" spans="1:9" ht="13" x14ac:dyDescent="0.15">
      <c r="A49" s="381"/>
      <c r="B49" s="435"/>
      <c r="C49" s="229"/>
      <c r="D49" s="229" t="s">
        <v>856</v>
      </c>
      <c r="E49" s="230">
        <f>E48+1.99</f>
        <v>16.98</v>
      </c>
      <c r="F49" s="230">
        <f t="shared" si="0"/>
        <v>17.659200000000002</v>
      </c>
      <c r="G49" s="199">
        <f t="shared" si="1"/>
        <v>21.225000000000001</v>
      </c>
    </row>
    <row r="50" spans="1:9" ht="13" x14ac:dyDescent="0.15">
      <c r="A50" s="443" t="s">
        <v>859</v>
      </c>
      <c r="B50" s="100" t="s">
        <v>860</v>
      </c>
      <c r="C50" s="223"/>
      <c r="D50" s="223"/>
      <c r="E50" s="224">
        <v>10.99</v>
      </c>
      <c r="F50" s="224">
        <f t="shared" si="0"/>
        <v>11.429600000000001</v>
      </c>
      <c r="G50" s="225">
        <f t="shared" si="1"/>
        <v>13.737500000000001</v>
      </c>
    </row>
    <row r="51" spans="1:9" ht="13" x14ac:dyDescent="0.15">
      <c r="A51" s="380"/>
      <c r="B51" s="104" t="s">
        <v>861</v>
      </c>
      <c r="C51" s="212"/>
      <c r="D51" s="212"/>
      <c r="E51" s="213">
        <v>9.99</v>
      </c>
      <c r="F51" s="213">
        <f t="shared" si="0"/>
        <v>10.3896</v>
      </c>
      <c r="G51" s="200">
        <f t="shared" si="1"/>
        <v>12.487500000000001</v>
      </c>
    </row>
    <row r="52" spans="1:9" ht="13" x14ac:dyDescent="0.15">
      <c r="A52" s="380"/>
      <c r="B52" s="104" t="s">
        <v>862</v>
      </c>
      <c r="C52" s="212"/>
      <c r="D52" s="212"/>
      <c r="E52" s="213">
        <v>9.99</v>
      </c>
      <c r="F52" s="213">
        <f t="shared" si="0"/>
        <v>10.3896</v>
      </c>
      <c r="G52" s="200">
        <f t="shared" si="1"/>
        <v>12.487500000000001</v>
      </c>
    </row>
    <row r="53" spans="1:9" ht="13" x14ac:dyDescent="0.15">
      <c r="A53" s="380"/>
      <c r="B53" s="434" t="s">
        <v>863</v>
      </c>
      <c r="C53" s="434" t="s">
        <v>864</v>
      </c>
      <c r="D53" s="104" t="s">
        <v>865</v>
      </c>
      <c r="E53" s="235">
        <v>12.99</v>
      </c>
      <c r="F53" s="213">
        <f t="shared" si="0"/>
        <v>13.509600000000001</v>
      </c>
      <c r="G53" s="200">
        <f t="shared" si="1"/>
        <v>16.237500000000001</v>
      </c>
    </row>
    <row r="54" spans="1:9" ht="13" x14ac:dyDescent="0.15">
      <c r="A54" s="380"/>
      <c r="B54" s="387"/>
      <c r="C54" s="387"/>
      <c r="D54" s="104" t="s">
        <v>866</v>
      </c>
      <c r="E54" s="235">
        <f>E53+2.6</f>
        <v>15.59</v>
      </c>
      <c r="F54" s="213">
        <f t="shared" si="0"/>
        <v>16.2136</v>
      </c>
      <c r="G54" s="200">
        <f t="shared" si="1"/>
        <v>19.487500000000001</v>
      </c>
      <c r="H54" s="236">
        <f t="shared" ref="H54:I54" si="2">F54-F53</f>
        <v>2.7039999999999988</v>
      </c>
      <c r="I54" s="236">
        <f t="shared" si="2"/>
        <v>3.25</v>
      </c>
    </row>
    <row r="55" spans="1:9" ht="13" x14ac:dyDescent="0.15">
      <c r="A55" s="380"/>
      <c r="B55" s="387"/>
      <c r="C55" s="387"/>
      <c r="D55" s="212" t="s">
        <v>867</v>
      </c>
      <c r="E55" s="213">
        <f>E53+4.99</f>
        <v>17.98</v>
      </c>
      <c r="F55" s="213">
        <f t="shared" si="0"/>
        <v>18.699200000000001</v>
      </c>
      <c r="G55" s="200">
        <f t="shared" si="1"/>
        <v>22.475000000000001</v>
      </c>
    </row>
    <row r="56" spans="1:9" ht="13" x14ac:dyDescent="0.15">
      <c r="A56" s="381"/>
      <c r="B56" s="435"/>
      <c r="C56" s="435"/>
      <c r="D56" s="229" t="s">
        <v>868</v>
      </c>
      <c r="E56" s="230">
        <f>E53+1.5</f>
        <v>14.49</v>
      </c>
      <c r="F56" s="230">
        <f t="shared" si="0"/>
        <v>15.069600000000001</v>
      </c>
      <c r="G56" s="199">
        <f t="shared" si="1"/>
        <v>18.112500000000001</v>
      </c>
    </row>
    <row r="57" spans="1:9" ht="13" x14ac:dyDescent="0.15">
      <c r="A57" s="439" t="s">
        <v>253</v>
      </c>
      <c r="B57" s="100" t="s">
        <v>869</v>
      </c>
      <c r="C57" s="223"/>
      <c r="D57" s="223"/>
      <c r="E57" s="224">
        <v>4.99</v>
      </c>
      <c r="F57" s="224">
        <f t="shared" si="0"/>
        <v>5.1896000000000004</v>
      </c>
      <c r="G57" s="225">
        <f t="shared" si="1"/>
        <v>6.2375000000000007</v>
      </c>
    </row>
    <row r="58" spans="1:9" ht="13" x14ac:dyDescent="0.15">
      <c r="A58" s="380"/>
      <c r="B58" s="104" t="s">
        <v>323</v>
      </c>
      <c r="C58" s="212"/>
      <c r="D58" s="212"/>
      <c r="E58" s="213">
        <v>4.99</v>
      </c>
      <c r="F58" s="213">
        <f t="shared" si="0"/>
        <v>5.1896000000000004</v>
      </c>
      <c r="G58" s="200">
        <f t="shared" si="1"/>
        <v>6.2375000000000007</v>
      </c>
    </row>
    <row r="59" spans="1:9" ht="13" x14ac:dyDescent="0.15">
      <c r="A59" s="380"/>
      <c r="B59" s="104" t="s">
        <v>870</v>
      </c>
      <c r="C59" s="212"/>
      <c r="D59" s="212"/>
      <c r="E59" s="213">
        <v>4.99</v>
      </c>
      <c r="F59" s="213">
        <f t="shared" si="0"/>
        <v>5.1896000000000004</v>
      </c>
      <c r="G59" s="200">
        <f t="shared" si="1"/>
        <v>6.2375000000000007</v>
      </c>
    </row>
    <row r="60" spans="1:9" ht="13" x14ac:dyDescent="0.15">
      <c r="A60" s="381"/>
      <c r="B60" s="110" t="s">
        <v>737</v>
      </c>
      <c r="C60" s="229"/>
      <c r="D60" s="229"/>
      <c r="E60" s="230">
        <v>4.99</v>
      </c>
      <c r="F60" s="230">
        <f t="shared" si="0"/>
        <v>5.1896000000000004</v>
      </c>
      <c r="G60" s="199">
        <f t="shared" si="1"/>
        <v>6.2375000000000007</v>
      </c>
    </row>
    <row r="61" spans="1:9" ht="13" x14ac:dyDescent="0.15">
      <c r="A61" s="439" t="s">
        <v>871</v>
      </c>
      <c r="B61" s="100" t="s">
        <v>872</v>
      </c>
      <c r="C61" s="223"/>
      <c r="D61" s="223"/>
      <c r="E61" s="224">
        <v>3.5</v>
      </c>
      <c r="F61" s="224">
        <f t="shared" si="0"/>
        <v>3.64</v>
      </c>
      <c r="G61" s="225">
        <f t="shared" si="1"/>
        <v>4.375</v>
      </c>
    </row>
    <row r="62" spans="1:9" ht="13" x14ac:dyDescent="0.15">
      <c r="A62" s="380"/>
      <c r="B62" s="104" t="s">
        <v>873</v>
      </c>
      <c r="C62" s="212"/>
      <c r="D62" s="212"/>
      <c r="E62" s="213">
        <v>3.5</v>
      </c>
      <c r="F62" s="213">
        <f t="shared" si="0"/>
        <v>3.64</v>
      </c>
      <c r="G62" s="200">
        <f t="shared" si="1"/>
        <v>4.375</v>
      </c>
    </row>
    <row r="63" spans="1:9" ht="13" x14ac:dyDescent="0.15">
      <c r="A63" s="380"/>
      <c r="B63" s="104" t="s">
        <v>134</v>
      </c>
      <c r="C63" s="212"/>
      <c r="D63" s="212"/>
      <c r="E63" s="213">
        <v>3.5</v>
      </c>
      <c r="F63" s="213">
        <f t="shared" si="0"/>
        <v>3.64</v>
      </c>
      <c r="G63" s="200">
        <f t="shared" si="1"/>
        <v>4.375</v>
      </c>
    </row>
    <row r="64" spans="1:9" ht="13" x14ac:dyDescent="0.15">
      <c r="A64" s="380"/>
      <c r="B64" s="104" t="s">
        <v>874</v>
      </c>
      <c r="C64" s="212"/>
      <c r="D64" s="212"/>
      <c r="E64" s="213">
        <v>4</v>
      </c>
      <c r="F64" s="213">
        <f t="shared" si="0"/>
        <v>4.16</v>
      </c>
      <c r="G64" s="200">
        <f t="shared" si="1"/>
        <v>5</v>
      </c>
    </row>
    <row r="65" spans="1:7" ht="13" x14ac:dyDescent="0.15">
      <c r="A65" s="380"/>
      <c r="B65" s="104" t="s">
        <v>126</v>
      </c>
      <c r="C65" s="212"/>
      <c r="D65" s="212"/>
      <c r="E65" s="213">
        <v>4</v>
      </c>
      <c r="F65" s="213">
        <f t="shared" si="0"/>
        <v>4.16</v>
      </c>
      <c r="G65" s="200">
        <f t="shared" si="1"/>
        <v>5</v>
      </c>
    </row>
    <row r="66" spans="1:7" ht="13" x14ac:dyDescent="0.15">
      <c r="A66" s="380"/>
      <c r="B66" s="104" t="s">
        <v>875</v>
      </c>
      <c r="C66" s="212"/>
      <c r="D66" s="212"/>
      <c r="E66" s="213">
        <v>5</v>
      </c>
      <c r="F66" s="213">
        <f t="shared" si="0"/>
        <v>5.2</v>
      </c>
      <c r="G66" s="200">
        <f t="shared" si="1"/>
        <v>6.25</v>
      </c>
    </row>
    <row r="67" spans="1:7" ht="13" x14ac:dyDescent="0.15">
      <c r="A67" s="380"/>
      <c r="B67" s="104" t="s">
        <v>132</v>
      </c>
      <c r="C67" s="212"/>
      <c r="D67" s="212"/>
      <c r="E67" s="213">
        <v>6.5</v>
      </c>
      <c r="F67" s="213">
        <f t="shared" si="0"/>
        <v>6.76</v>
      </c>
      <c r="G67" s="200">
        <f t="shared" si="1"/>
        <v>8.125</v>
      </c>
    </row>
    <row r="68" spans="1:7" ht="13" x14ac:dyDescent="0.15">
      <c r="A68" s="380"/>
      <c r="B68" s="104" t="s">
        <v>876</v>
      </c>
      <c r="C68" s="212"/>
      <c r="D68" s="212"/>
      <c r="E68" s="213">
        <v>7.99</v>
      </c>
      <c r="F68" s="213">
        <f t="shared" si="0"/>
        <v>8.3095999999999997</v>
      </c>
      <c r="G68" s="200">
        <f t="shared" si="1"/>
        <v>9.9875000000000007</v>
      </c>
    </row>
    <row r="69" spans="1:7" ht="13" x14ac:dyDescent="0.15">
      <c r="A69" s="380"/>
      <c r="B69" s="104" t="s">
        <v>127</v>
      </c>
      <c r="C69" s="212"/>
      <c r="D69" s="212"/>
      <c r="E69" s="213">
        <v>6.5</v>
      </c>
      <c r="F69" s="213">
        <f t="shared" si="0"/>
        <v>6.76</v>
      </c>
      <c r="G69" s="200">
        <f t="shared" si="1"/>
        <v>8.125</v>
      </c>
    </row>
    <row r="70" spans="1:7" ht="13" x14ac:dyDescent="0.15">
      <c r="A70" s="381"/>
      <c r="B70" s="110" t="s">
        <v>877</v>
      </c>
      <c r="C70" s="229"/>
      <c r="D70" s="229"/>
      <c r="E70" s="230">
        <v>5.5</v>
      </c>
      <c r="F70" s="230">
        <f t="shared" si="0"/>
        <v>5.7200000000000006</v>
      </c>
      <c r="G70" s="199">
        <f t="shared" si="1"/>
        <v>6.875</v>
      </c>
    </row>
    <row r="71" spans="1:7" ht="13" x14ac:dyDescent="0.15">
      <c r="A71" s="440" t="s">
        <v>878</v>
      </c>
      <c r="B71" s="100" t="s">
        <v>879</v>
      </c>
      <c r="C71" s="100"/>
      <c r="D71" s="100"/>
      <c r="E71" s="224">
        <v>12</v>
      </c>
      <c r="F71" s="213">
        <f t="shared" si="0"/>
        <v>12.48</v>
      </c>
      <c r="G71" s="200">
        <f t="shared" si="1"/>
        <v>15</v>
      </c>
    </row>
    <row r="72" spans="1:7" ht="13" x14ac:dyDescent="0.15">
      <c r="A72" s="380"/>
      <c r="B72" s="104" t="s">
        <v>880</v>
      </c>
      <c r="C72" s="104"/>
      <c r="D72" s="104"/>
      <c r="E72" s="213">
        <v>12</v>
      </c>
      <c r="F72" s="213">
        <f t="shared" si="0"/>
        <v>12.48</v>
      </c>
      <c r="G72" s="200">
        <f t="shared" si="1"/>
        <v>15</v>
      </c>
    </row>
    <row r="73" spans="1:7" ht="13" x14ac:dyDescent="0.15">
      <c r="A73" s="380"/>
      <c r="B73" s="104" t="s">
        <v>881</v>
      </c>
      <c r="C73" s="104"/>
      <c r="D73" s="104"/>
      <c r="E73" s="213">
        <v>12</v>
      </c>
      <c r="F73" s="213">
        <f t="shared" si="0"/>
        <v>12.48</v>
      </c>
      <c r="G73" s="200">
        <f t="shared" si="1"/>
        <v>15</v>
      </c>
    </row>
    <row r="74" spans="1:7" ht="13" x14ac:dyDescent="0.15">
      <c r="A74" s="380"/>
      <c r="B74" s="104" t="s">
        <v>882</v>
      </c>
      <c r="C74" s="104"/>
      <c r="D74" s="104"/>
      <c r="E74" s="213">
        <v>12</v>
      </c>
      <c r="F74" s="213">
        <f t="shared" si="0"/>
        <v>12.48</v>
      </c>
      <c r="G74" s="200">
        <f t="shared" si="1"/>
        <v>15</v>
      </c>
    </row>
    <row r="75" spans="1:7" ht="13" x14ac:dyDescent="0.15">
      <c r="A75" s="380"/>
      <c r="B75" s="104" t="s">
        <v>883</v>
      </c>
      <c r="C75" s="237"/>
      <c r="D75" s="237"/>
      <c r="E75" s="213">
        <v>12</v>
      </c>
      <c r="F75" s="213">
        <f t="shared" si="0"/>
        <v>12.48</v>
      </c>
      <c r="G75" s="200">
        <f t="shared" si="1"/>
        <v>15</v>
      </c>
    </row>
    <row r="76" spans="1:7" ht="13" x14ac:dyDescent="0.15">
      <c r="A76" s="380"/>
      <c r="B76" s="104" t="s">
        <v>884</v>
      </c>
      <c r="C76" s="237"/>
      <c r="D76" s="237"/>
      <c r="E76" s="213">
        <v>12</v>
      </c>
      <c r="F76" s="213">
        <f t="shared" si="0"/>
        <v>12.48</v>
      </c>
      <c r="G76" s="200">
        <f t="shared" si="1"/>
        <v>15</v>
      </c>
    </row>
    <row r="77" spans="1:7" ht="13" x14ac:dyDescent="0.15">
      <c r="A77" s="380"/>
      <c r="B77" s="104" t="s">
        <v>885</v>
      </c>
      <c r="C77" s="237"/>
      <c r="D77" s="237"/>
      <c r="E77" s="213">
        <v>12</v>
      </c>
      <c r="F77" s="213">
        <f t="shared" si="0"/>
        <v>12.48</v>
      </c>
      <c r="G77" s="200">
        <f t="shared" si="1"/>
        <v>15</v>
      </c>
    </row>
    <row r="78" spans="1:7" ht="13" x14ac:dyDescent="0.15">
      <c r="A78" s="380"/>
      <c r="B78" s="104" t="s">
        <v>886</v>
      </c>
      <c r="C78" s="237"/>
      <c r="D78" s="237"/>
      <c r="E78" s="213">
        <v>12</v>
      </c>
      <c r="F78" s="213">
        <f t="shared" si="0"/>
        <v>12.48</v>
      </c>
      <c r="G78" s="200">
        <f t="shared" si="1"/>
        <v>15</v>
      </c>
    </row>
    <row r="79" spans="1:7" ht="13" x14ac:dyDescent="0.15">
      <c r="A79" s="380"/>
      <c r="B79" s="104" t="s">
        <v>887</v>
      </c>
      <c r="C79" s="237"/>
      <c r="D79" s="237"/>
      <c r="E79" s="213">
        <v>12</v>
      </c>
      <c r="F79" s="213">
        <f t="shared" si="0"/>
        <v>12.48</v>
      </c>
      <c r="G79" s="200">
        <f t="shared" si="1"/>
        <v>15</v>
      </c>
    </row>
    <row r="80" spans="1:7" ht="13" x14ac:dyDescent="0.15">
      <c r="A80" s="381"/>
      <c r="B80" s="226" t="s">
        <v>888</v>
      </c>
      <c r="C80" s="238"/>
      <c r="D80" s="238"/>
      <c r="E80" s="221">
        <v>12</v>
      </c>
      <c r="F80" s="221">
        <f t="shared" si="0"/>
        <v>12.48</v>
      </c>
      <c r="G80" s="222">
        <f t="shared" si="1"/>
        <v>15</v>
      </c>
    </row>
    <row r="81" spans="1:7" ht="13" x14ac:dyDescent="0.15">
      <c r="A81" s="436" t="s">
        <v>889</v>
      </c>
      <c r="B81" s="100" t="s">
        <v>890</v>
      </c>
      <c r="C81" s="239" t="s">
        <v>891</v>
      </c>
      <c r="D81" s="239"/>
      <c r="E81" s="240">
        <v>6.25</v>
      </c>
      <c r="F81" s="224">
        <f t="shared" si="0"/>
        <v>6.5</v>
      </c>
      <c r="G81" s="225">
        <f t="shared" si="1"/>
        <v>7.8125</v>
      </c>
    </row>
    <row r="82" spans="1:7" ht="13" x14ac:dyDescent="0.15">
      <c r="A82" s="380"/>
      <c r="B82" s="104" t="s">
        <v>892</v>
      </c>
      <c r="C82" s="237" t="s">
        <v>891</v>
      </c>
      <c r="D82" s="237"/>
      <c r="E82" s="241">
        <v>6.25</v>
      </c>
      <c r="F82" s="213">
        <f t="shared" si="0"/>
        <v>6.5</v>
      </c>
      <c r="G82" s="200">
        <f t="shared" si="1"/>
        <v>7.8125</v>
      </c>
    </row>
    <row r="83" spans="1:7" ht="13" x14ac:dyDescent="0.15">
      <c r="A83" s="380"/>
      <c r="B83" s="104" t="s">
        <v>893</v>
      </c>
      <c r="C83" s="237" t="s">
        <v>891</v>
      </c>
      <c r="D83" s="237"/>
      <c r="E83" s="241">
        <v>6.25</v>
      </c>
      <c r="F83" s="213">
        <f t="shared" si="0"/>
        <v>6.5</v>
      </c>
      <c r="G83" s="200">
        <f t="shared" si="1"/>
        <v>7.8125</v>
      </c>
    </row>
    <row r="84" spans="1:7" ht="13" x14ac:dyDescent="0.15">
      <c r="A84" s="380"/>
      <c r="B84" s="104" t="s">
        <v>894</v>
      </c>
      <c r="C84" s="237" t="s">
        <v>891</v>
      </c>
      <c r="D84" s="237"/>
      <c r="E84" s="241">
        <v>7.5</v>
      </c>
      <c r="F84" s="213">
        <f t="shared" si="0"/>
        <v>7.8000000000000007</v>
      </c>
      <c r="G84" s="200">
        <f t="shared" si="1"/>
        <v>9.375</v>
      </c>
    </row>
    <row r="85" spans="1:7" ht="13" x14ac:dyDescent="0.15">
      <c r="A85" s="380"/>
      <c r="B85" s="104" t="s">
        <v>895</v>
      </c>
      <c r="C85" s="237" t="s">
        <v>891</v>
      </c>
      <c r="D85" s="237"/>
      <c r="E85" s="241">
        <v>8</v>
      </c>
      <c r="F85" s="213">
        <f t="shared" si="0"/>
        <v>8.32</v>
      </c>
      <c r="G85" s="200">
        <f t="shared" si="1"/>
        <v>10</v>
      </c>
    </row>
    <row r="86" spans="1:7" ht="13" x14ac:dyDescent="0.15">
      <c r="A86" s="380"/>
      <c r="B86" s="104" t="s">
        <v>896</v>
      </c>
      <c r="C86" s="237" t="s">
        <v>891</v>
      </c>
      <c r="D86" s="237"/>
      <c r="E86" s="241">
        <v>8.5</v>
      </c>
      <c r="F86" s="213">
        <f t="shared" si="0"/>
        <v>8.84</v>
      </c>
      <c r="G86" s="200">
        <f t="shared" si="1"/>
        <v>10.625</v>
      </c>
    </row>
    <row r="87" spans="1:7" ht="13" x14ac:dyDescent="0.15">
      <c r="A87" s="380"/>
      <c r="B87" s="104" t="s">
        <v>897</v>
      </c>
      <c r="C87" s="237" t="s">
        <v>891</v>
      </c>
      <c r="D87" s="237"/>
      <c r="E87" s="241">
        <v>12</v>
      </c>
      <c r="F87" s="213">
        <f t="shared" si="0"/>
        <v>12.48</v>
      </c>
      <c r="G87" s="200">
        <f t="shared" si="1"/>
        <v>15</v>
      </c>
    </row>
    <row r="88" spans="1:7" ht="13" x14ac:dyDescent="0.15">
      <c r="A88" s="380"/>
      <c r="B88" s="104" t="s">
        <v>890</v>
      </c>
      <c r="C88" s="104" t="s">
        <v>898</v>
      </c>
      <c r="D88" s="237"/>
      <c r="E88" s="241">
        <v>19.989999999999998</v>
      </c>
      <c r="F88" s="213">
        <f t="shared" si="0"/>
        <v>20.7896</v>
      </c>
      <c r="G88" s="200">
        <f t="shared" si="1"/>
        <v>24.987499999999997</v>
      </c>
    </row>
    <row r="89" spans="1:7" ht="13" x14ac:dyDescent="0.15">
      <c r="A89" s="380"/>
      <c r="B89" s="104" t="s">
        <v>892</v>
      </c>
      <c r="C89" s="104" t="s">
        <v>898</v>
      </c>
      <c r="D89" s="237"/>
      <c r="E89" s="241">
        <v>19.989999999999998</v>
      </c>
      <c r="F89" s="213">
        <f t="shared" si="0"/>
        <v>20.7896</v>
      </c>
      <c r="G89" s="200">
        <f t="shared" si="1"/>
        <v>24.987499999999997</v>
      </c>
    </row>
    <row r="90" spans="1:7" ht="13" x14ac:dyDescent="0.15">
      <c r="A90" s="380"/>
      <c r="B90" s="104" t="s">
        <v>893</v>
      </c>
      <c r="C90" s="104" t="s">
        <v>898</v>
      </c>
      <c r="D90" s="237"/>
      <c r="E90" s="241">
        <v>19.989999999999998</v>
      </c>
      <c r="F90" s="213">
        <f t="shared" si="0"/>
        <v>20.7896</v>
      </c>
      <c r="G90" s="200">
        <f t="shared" si="1"/>
        <v>24.987499999999997</v>
      </c>
    </row>
    <row r="91" spans="1:7" ht="13" x14ac:dyDescent="0.15">
      <c r="A91" s="381"/>
      <c r="B91" s="226" t="s">
        <v>894</v>
      </c>
      <c r="C91" s="226" t="s">
        <v>898</v>
      </c>
      <c r="D91" s="238"/>
      <c r="E91" s="242">
        <v>19.989999999999998</v>
      </c>
      <c r="F91" s="221">
        <f t="shared" si="0"/>
        <v>20.7896</v>
      </c>
      <c r="G91" s="222">
        <f t="shared" si="1"/>
        <v>24.987499999999997</v>
      </c>
    </row>
    <row r="92" spans="1:7" ht="13" x14ac:dyDescent="0.15">
      <c r="A92" s="440" t="s">
        <v>754</v>
      </c>
      <c r="B92" s="100" t="s">
        <v>899</v>
      </c>
      <c r="C92" s="239"/>
      <c r="D92" s="239"/>
      <c r="E92" s="240">
        <v>5</v>
      </c>
      <c r="F92" s="224">
        <f t="shared" si="0"/>
        <v>5.2</v>
      </c>
      <c r="G92" s="225">
        <f t="shared" si="1"/>
        <v>6.25</v>
      </c>
    </row>
    <row r="93" spans="1:7" ht="13" x14ac:dyDescent="0.15">
      <c r="A93" s="380"/>
      <c r="B93" s="104" t="s">
        <v>900</v>
      </c>
      <c r="C93" s="237"/>
      <c r="D93" s="237"/>
      <c r="E93" s="241">
        <v>19.25</v>
      </c>
      <c r="F93" s="213">
        <f t="shared" si="0"/>
        <v>20.02</v>
      </c>
      <c r="G93" s="200">
        <f t="shared" si="1"/>
        <v>24.0625</v>
      </c>
    </row>
    <row r="94" spans="1:7" ht="13" x14ac:dyDescent="0.15">
      <c r="A94" s="381"/>
      <c r="B94" s="226" t="s">
        <v>901</v>
      </c>
      <c r="C94" s="238"/>
      <c r="D94" s="238"/>
      <c r="E94" s="242">
        <v>19.25</v>
      </c>
      <c r="F94" s="221">
        <f t="shared" si="0"/>
        <v>20.02</v>
      </c>
      <c r="G94" s="222">
        <f t="shared" si="1"/>
        <v>24.0625</v>
      </c>
    </row>
    <row r="95" spans="1:7" ht="13" x14ac:dyDescent="0.15">
      <c r="A95" s="436" t="s">
        <v>902</v>
      </c>
      <c r="B95" s="437" t="s">
        <v>903</v>
      </c>
      <c r="C95" s="100" t="s">
        <v>12</v>
      </c>
      <c r="D95" s="239"/>
      <c r="E95" s="240">
        <v>5.5</v>
      </c>
      <c r="F95" s="240">
        <f t="shared" si="0"/>
        <v>5.7200000000000006</v>
      </c>
      <c r="G95" s="243">
        <f t="shared" si="1"/>
        <v>6.875</v>
      </c>
    </row>
    <row r="96" spans="1:7" ht="13" x14ac:dyDescent="0.15">
      <c r="A96" s="380"/>
      <c r="B96" s="387"/>
      <c r="C96" s="104" t="s">
        <v>509</v>
      </c>
      <c r="D96" s="237"/>
      <c r="E96" s="241">
        <v>5.5</v>
      </c>
      <c r="F96" s="241">
        <f t="shared" si="0"/>
        <v>5.7200000000000006</v>
      </c>
      <c r="G96" s="244">
        <f t="shared" si="1"/>
        <v>6.875</v>
      </c>
    </row>
    <row r="97" spans="1:7" ht="13" x14ac:dyDescent="0.15">
      <c r="A97" s="380"/>
      <c r="B97" s="387"/>
      <c r="C97" s="104" t="s">
        <v>316</v>
      </c>
      <c r="D97" s="237"/>
      <c r="E97" s="241">
        <v>5.5</v>
      </c>
      <c r="F97" s="241">
        <f t="shared" si="0"/>
        <v>5.7200000000000006</v>
      </c>
      <c r="G97" s="244">
        <f t="shared" si="1"/>
        <v>6.875</v>
      </c>
    </row>
    <row r="98" spans="1:7" ht="13" x14ac:dyDescent="0.15">
      <c r="A98" s="380"/>
      <c r="B98" s="387"/>
      <c r="C98" s="104" t="s">
        <v>560</v>
      </c>
      <c r="D98" s="237"/>
      <c r="E98" s="241">
        <v>5.5</v>
      </c>
      <c r="F98" s="241">
        <f t="shared" si="0"/>
        <v>5.7200000000000006</v>
      </c>
      <c r="G98" s="244">
        <f t="shared" si="1"/>
        <v>6.875</v>
      </c>
    </row>
    <row r="99" spans="1:7" ht="13" x14ac:dyDescent="0.15">
      <c r="A99" s="380"/>
      <c r="B99" s="388"/>
      <c r="C99" s="104" t="s">
        <v>904</v>
      </c>
      <c r="D99" s="237"/>
      <c r="E99" s="241">
        <v>5.5</v>
      </c>
      <c r="F99" s="241">
        <f t="shared" si="0"/>
        <v>5.7200000000000006</v>
      </c>
      <c r="G99" s="244">
        <f t="shared" si="1"/>
        <v>6.875</v>
      </c>
    </row>
    <row r="100" spans="1:7" ht="14" x14ac:dyDescent="0.15">
      <c r="A100" s="380"/>
      <c r="B100" s="245" t="s">
        <v>905</v>
      </c>
      <c r="C100" s="104"/>
      <c r="D100" s="237"/>
      <c r="E100" s="241">
        <v>7.99</v>
      </c>
      <c r="F100" s="241">
        <f t="shared" si="0"/>
        <v>8.3095999999999997</v>
      </c>
      <c r="G100" s="244">
        <f t="shared" si="1"/>
        <v>9.9875000000000007</v>
      </c>
    </row>
    <row r="101" spans="1:7" ht="14" x14ac:dyDescent="0.15">
      <c r="A101" s="380"/>
      <c r="B101" s="245" t="s">
        <v>906</v>
      </c>
      <c r="C101" s="104"/>
      <c r="D101" s="237"/>
      <c r="E101" s="241">
        <v>7.99</v>
      </c>
      <c r="F101" s="241">
        <f t="shared" si="0"/>
        <v>8.3095999999999997</v>
      </c>
      <c r="G101" s="244">
        <f t="shared" si="1"/>
        <v>9.9875000000000007</v>
      </c>
    </row>
    <row r="102" spans="1:7" ht="14" x14ac:dyDescent="0.15">
      <c r="A102" s="380"/>
      <c r="B102" s="245" t="s">
        <v>885</v>
      </c>
      <c r="C102" s="104" t="s">
        <v>907</v>
      </c>
      <c r="D102" s="237"/>
      <c r="E102" s="241">
        <v>7.99</v>
      </c>
      <c r="F102" s="241">
        <f t="shared" si="0"/>
        <v>8.3095999999999997</v>
      </c>
      <c r="G102" s="244">
        <f t="shared" si="1"/>
        <v>9.9875000000000007</v>
      </c>
    </row>
    <row r="103" spans="1:7" ht="13" x14ac:dyDescent="0.15">
      <c r="A103" s="380"/>
      <c r="B103" s="438" t="s">
        <v>403</v>
      </c>
      <c r="C103" s="104" t="s">
        <v>404</v>
      </c>
      <c r="D103" s="237"/>
      <c r="E103" s="241">
        <v>2.99</v>
      </c>
      <c r="F103" s="241">
        <f t="shared" si="0"/>
        <v>3.1096000000000004</v>
      </c>
      <c r="G103" s="244">
        <f t="shared" si="1"/>
        <v>3.7375000000000003</v>
      </c>
    </row>
    <row r="104" spans="1:7" ht="13" x14ac:dyDescent="0.15">
      <c r="A104" s="380"/>
      <c r="B104" s="387"/>
      <c r="C104" s="104" t="s">
        <v>405</v>
      </c>
      <c r="D104" s="237"/>
      <c r="E104" s="241">
        <v>2.99</v>
      </c>
      <c r="F104" s="241">
        <f t="shared" si="0"/>
        <v>3.1096000000000004</v>
      </c>
      <c r="G104" s="244">
        <f t="shared" si="1"/>
        <v>3.7375000000000003</v>
      </c>
    </row>
    <row r="105" spans="1:7" ht="13" x14ac:dyDescent="0.15">
      <c r="A105" s="380"/>
      <c r="B105" s="387"/>
      <c r="C105" s="104" t="s">
        <v>406</v>
      </c>
      <c r="D105" s="237"/>
      <c r="E105" s="241">
        <v>2.99</v>
      </c>
      <c r="F105" s="241">
        <f t="shared" si="0"/>
        <v>3.1096000000000004</v>
      </c>
      <c r="G105" s="244">
        <f t="shared" si="1"/>
        <v>3.7375000000000003</v>
      </c>
    </row>
    <row r="106" spans="1:7" ht="13" x14ac:dyDescent="0.15">
      <c r="A106" s="380"/>
      <c r="B106" s="387"/>
      <c r="C106" s="104" t="s">
        <v>407</v>
      </c>
      <c r="D106" s="237"/>
      <c r="E106" s="241">
        <v>2.99</v>
      </c>
      <c r="F106" s="241">
        <f t="shared" si="0"/>
        <v>3.1096000000000004</v>
      </c>
      <c r="G106" s="244">
        <f t="shared" si="1"/>
        <v>3.7375000000000003</v>
      </c>
    </row>
    <row r="107" spans="1:7" ht="13" x14ac:dyDescent="0.15">
      <c r="A107" s="380"/>
      <c r="B107" s="387"/>
      <c r="C107" s="104" t="s">
        <v>750</v>
      </c>
      <c r="D107" s="237"/>
      <c r="E107" s="241">
        <v>2.99</v>
      </c>
      <c r="F107" s="241">
        <f t="shared" si="0"/>
        <v>3.1096000000000004</v>
      </c>
      <c r="G107" s="244">
        <f t="shared" si="1"/>
        <v>3.7375000000000003</v>
      </c>
    </row>
    <row r="108" spans="1:7" ht="13" x14ac:dyDescent="0.15">
      <c r="A108" s="380"/>
      <c r="B108" s="387"/>
      <c r="C108" s="104" t="s">
        <v>410</v>
      </c>
      <c r="D108" s="237"/>
      <c r="E108" s="241">
        <v>2.99</v>
      </c>
      <c r="F108" s="241">
        <f t="shared" si="0"/>
        <v>3.1096000000000004</v>
      </c>
      <c r="G108" s="244">
        <f t="shared" si="1"/>
        <v>3.7375000000000003</v>
      </c>
    </row>
    <row r="109" spans="1:7" ht="13" x14ac:dyDescent="0.15">
      <c r="A109" s="380"/>
      <c r="B109" s="387"/>
      <c r="C109" s="104" t="s">
        <v>412</v>
      </c>
      <c r="D109" s="237"/>
      <c r="E109" s="241">
        <v>2.99</v>
      </c>
      <c r="F109" s="241">
        <f t="shared" si="0"/>
        <v>3.1096000000000004</v>
      </c>
      <c r="G109" s="244">
        <f t="shared" si="1"/>
        <v>3.7375000000000003</v>
      </c>
    </row>
    <row r="110" spans="1:7" ht="13" x14ac:dyDescent="0.15">
      <c r="A110" s="380"/>
      <c r="B110" s="387"/>
      <c r="C110" s="104" t="s">
        <v>413</v>
      </c>
      <c r="D110" s="237"/>
      <c r="E110" s="241">
        <v>2.99</v>
      </c>
      <c r="F110" s="241">
        <f t="shared" si="0"/>
        <v>3.1096000000000004</v>
      </c>
      <c r="G110" s="244">
        <f t="shared" si="1"/>
        <v>3.7375000000000003</v>
      </c>
    </row>
    <row r="111" spans="1:7" ht="13" x14ac:dyDescent="0.15">
      <c r="A111" s="380"/>
      <c r="B111" s="388"/>
      <c r="C111" s="104" t="s">
        <v>414</v>
      </c>
      <c r="D111" s="237"/>
      <c r="E111" s="241">
        <v>2.99</v>
      </c>
      <c r="F111" s="241">
        <f t="shared" si="0"/>
        <v>3.1096000000000004</v>
      </c>
      <c r="G111" s="244">
        <f t="shared" si="1"/>
        <v>3.7375000000000003</v>
      </c>
    </row>
    <row r="112" spans="1:7" ht="13" x14ac:dyDescent="0.15">
      <c r="A112" s="380"/>
      <c r="B112" s="438" t="s">
        <v>415</v>
      </c>
      <c r="C112" s="104" t="s">
        <v>404</v>
      </c>
      <c r="D112" s="237"/>
      <c r="E112" s="241">
        <v>3.99</v>
      </c>
      <c r="F112" s="241">
        <f t="shared" si="0"/>
        <v>4.1496000000000004</v>
      </c>
      <c r="G112" s="244">
        <f t="shared" si="1"/>
        <v>4.9875000000000007</v>
      </c>
    </row>
    <row r="113" spans="1:7" ht="13" x14ac:dyDescent="0.15">
      <c r="A113" s="380"/>
      <c r="B113" s="387"/>
      <c r="C113" s="104" t="s">
        <v>405</v>
      </c>
      <c r="D113" s="237"/>
      <c r="E113" s="241">
        <v>3.99</v>
      </c>
      <c r="F113" s="241">
        <f t="shared" si="0"/>
        <v>4.1496000000000004</v>
      </c>
      <c r="G113" s="244">
        <f t="shared" si="1"/>
        <v>4.9875000000000007</v>
      </c>
    </row>
    <row r="114" spans="1:7" ht="13" x14ac:dyDescent="0.15">
      <c r="A114" s="380"/>
      <c r="B114" s="387"/>
      <c r="C114" s="104" t="s">
        <v>406</v>
      </c>
      <c r="D114" s="237"/>
      <c r="E114" s="241">
        <v>3.99</v>
      </c>
      <c r="F114" s="241">
        <f t="shared" si="0"/>
        <v>4.1496000000000004</v>
      </c>
      <c r="G114" s="244">
        <f t="shared" si="1"/>
        <v>4.9875000000000007</v>
      </c>
    </row>
    <row r="115" spans="1:7" ht="13" x14ac:dyDescent="0.15">
      <c r="A115" s="380"/>
      <c r="B115" s="388"/>
      <c r="C115" s="104" t="s">
        <v>407</v>
      </c>
      <c r="D115" s="237"/>
      <c r="E115" s="241">
        <v>3.99</v>
      </c>
      <c r="F115" s="241">
        <f t="shared" si="0"/>
        <v>4.1496000000000004</v>
      </c>
      <c r="G115" s="244">
        <f t="shared" si="1"/>
        <v>4.9875000000000007</v>
      </c>
    </row>
    <row r="116" spans="1:7" ht="13" x14ac:dyDescent="0.15">
      <c r="A116" s="380"/>
      <c r="B116" s="438" t="s">
        <v>446</v>
      </c>
      <c r="C116" s="104" t="s">
        <v>281</v>
      </c>
      <c r="D116" s="237"/>
      <c r="E116" s="241">
        <v>7.99</v>
      </c>
      <c r="F116" s="241">
        <f t="shared" si="0"/>
        <v>8.3095999999999997</v>
      </c>
      <c r="G116" s="244">
        <f t="shared" si="1"/>
        <v>9.9875000000000007</v>
      </c>
    </row>
    <row r="117" spans="1:7" ht="13" x14ac:dyDescent="0.15">
      <c r="A117" s="380"/>
      <c r="B117" s="387"/>
      <c r="C117" s="104" t="s">
        <v>447</v>
      </c>
      <c r="D117" s="237"/>
      <c r="E117" s="241">
        <v>7.99</v>
      </c>
      <c r="F117" s="241">
        <f t="shared" si="0"/>
        <v>8.3095999999999997</v>
      </c>
      <c r="G117" s="244">
        <f t="shared" si="1"/>
        <v>9.9875000000000007</v>
      </c>
    </row>
    <row r="118" spans="1:7" ht="13" x14ac:dyDescent="0.15">
      <c r="A118" s="380"/>
      <c r="B118" s="387"/>
      <c r="C118" s="104" t="s">
        <v>448</v>
      </c>
      <c r="D118" s="237"/>
      <c r="E118" s="241">
        <v>7.99</v>
      </c>
      <c r="F118" s="241">
        <f t="shared" si="0"/>
        <v>8.3095999999999997</v>
      </c>
      <c r="G118" s="244">
        <f t="shared" si="1"/>
        <v>9.9875000000000007</v>
      </c>
    </row>
    <row r="119" spans="1:7" ht="13" x14ac:dyDescent="0.15">
      <c r="A119" s="380"/>
      <c r="B119" s="387"/>
      <c r="C119" s="104" t="s">
        <v>449</v>
      </c>
      <c r="D119" s="237"/>
      <c r="E119" s="241">
        <v>7.99</v>
      </c>
      <c r="F119" s="241">
        <f t="shared" si="0"/>
        <v>8.3095999999999997</v>
      </c>
      <c r="G119" s="244">
        <f t="shared" si="1"/>
        <v>9.9875000000000007</v>
      </c>
    </row>
    <row r="120" spans="1:7" ht="13" x14ac:dyDescent="0.15">
      <c r="A120" s="380"/>
      <c r="B120" s="387"/>
      <c r="C120" s="104" t="s">
        <v>12</v>
      </c>
      <c r="D120" s="237"/>
      <c r="E120" s="241">
        <v>7.99</v>
      </c>
      <c r="F120" s="241">
        <f t="shared" si="0"/>
        <v>8.3095999999999997</v>
      </c>
      <c r="G120" s="244">
        <f t="shared" si="1"/>
        <v>9.9875000000000007</v>
      </c>
    </row>
    <row r="121" spans="1:7" ht="13" x14ac:dyDescent="0.15">
      <c r="A121" s="380"/>
      <c r="B121" s="387"/>
      <c r="C121" s="104" t="s">
        <v>8</v>
      </c>
      <c r="D121" s="237"/>
      <c r="E121" s="241">
        <v>7.99</v>
      </c>
      <c r="F121" s="241">
        <f t="shared" si="0"/>
        <v>8.3095999999999997</v>
      </c>
      <c r="G121" s="244">
        <f t="shared" si="1"/>
        <v>9.9875000000000007</v>
      </c>
    </row>
    <row r="122" spans="1:7" ht="13" x14ac:dyDescent="0.15">
      <c r="A122" s="380"/>
      <c r="B122" s="387"/>
      <c r="C122" s="104" t="s">
        <v>424</v>
      </c>
      <c r="D122" s="237"/>
      <c r="E122" s="241">
        <v>7.99</v>
      </c>
      <c r="F122" s="241">
        <f t="shared" si="0"/>
        <v>8.3095999999999997</v>
      </c>
      <c r="G122" s="244">
        <f t="shared" si="1"/>
        <v>9.9875000000000007</v>
      </c>
    </row>
    <row r="123" spans="1:7" ht="13" x14ac:dyDescent="0.15">
      <c r="A123" s="380"/>
      <c r="B123" s="388"/>
      <c r="C123" s="104" t="s">
        <v>316</v>
      </c>
      <c r="D123" s="237"/>
      <c r="E123" s="241">
        <v>7.99</v>
      </c>
      <c r="F123" s="241">
        <f t="shared" si="0"/>
        <v>8.3095999999999997</v>
      </c>
      <c r="G123" s="244">
        <f t="shared" si="1"/>
        <v>9.9875000000000007</v>
      </c>
    </row>
    <row r="124" spans="1:7" ht="14" x14ac:dyDescent="0.15">
      <c r="A124" s="380"/>
      <c r="B124" s="245" t="s">
        <v>908</v>
      </c>
      <c r="C124" s="104"/>
      <c r="D124" s="237"/>
      <c r="E124" s="241">
        <v>3.99</v>
      </c>
      <c r="F124" s="241">
        <f t="shared" si="0"/>
        <v>4.1496000000000004</v>
      </c>
      <c r="G124" s="244">
        <f t="shared" si="1"/>
        <v>4.9875000000000007</v>
      </c>
    </row>
    <row r="125" spans="1:7" ht="14" x14ac:dyDescent="0.15">
      <c r="A125" s="380"/>
      <c r="B125" s="245" t="s">
        <v>909</v>
      </c>
      <c r="C125" s="104"/>
      <c r="D125" s="237"/>
      <c r="E125" s="241">
        <v>3.99</v>
      </c>
      <c r="F125" s="241">
        <f t="shared" si="0"/>
        <v>4.1496000000000004</v>
      </c>
      <c r="G125" s="244">
        <f t="shared" si="1"/>
        <v>4.9875000000000007</v>
      </c>
    </row>
    <row r="126" spans="1:7" ht="14" x14ac:dyDescent="0.15">
      <c r="A126" s="381"/>
      <c r="B126" s="246" t="s">
        <v>454</v>
      </c>
      <c r="C126" s="110" t="s">
        <v>459</v>
      </c>
      <c r="D126" s="247"/>
      <c r="E126" s="248">
        <v>3.99</v>
      </c>
      <c r="F126" s="248">
        <f t="shared" si="0"/>
        <v>4.1496000000000004</v>
      </c>
      <c r="G126" s="249">
        <f t="shared" si="1"/>
        <v>4.9875000000000007</v>
      </c>
    </row>
  </sheetData>
  <mergeCells count="27">
    <mergeCell ref="C53:C56"/>
    <mergeCell ref="A2:A9"/>
    <mergeCell ref="A10:A16"/>
    <mergeCell ref="B10:B12"/>
    <mergeCell ref="B13:B14"/>
    <mergeCell ref="A17:A20"/>
    <mergeCell ref="A21:A22"/>
    <mergeCell ref="B34:B36"/>
    <mergeCell ref="A23:A38"/>
    <mergeCell ref="A39:A45"/>
    <mergeCell ref="A46:A49"/>
    <mergeCell ref="A50:A56"/>
    <mergeCell ref="B19:B20"/>
    <mergeCell ref="B31:B33"/>
    <mergeCell ref="B46:B47"/>
    <mergeCell ref="B48:B49"/>
    <mergeCell ref="A95:A126"/>
    <mergeCell ref="B95:B99"/>
    <mergeCell ref="B103:B111"/>
    <mergeCell ref="B112:B115"/>
    <mergeCell ref="B116:B123"/>
    <mergeCell ref="A57:A60"/>
    <mergeCell ref="A61:A70"/>
    <mergeCell ref="A71:A80"/>
    <mergeCell ref="A81:A91"/>
    <mergeCell ref="A92:A94"/>
    <mergeCell ref="B53:B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  <pageSetUpPr fitToPage="1"/>
  </sheetPr>
  <dimension ref="A1:H1012"/>
  <sheetViews>
    <sheetView workbookViewId="0">
      <pane ySplit="1" topLeftCell="A68" activePane="bottomLeft" state="frozen"/>
      <selection pane="bottomLeft" activeCell="B2" sqref="B2:B12"/>
    </sheetView>
  </sheetViews>
  <sheetFormatPr baseColWidth="10" defaultColWidth="12.5" defaultRowHeight="15" customHeight="1" x14ac:dyDescent="0.15"/>
  <cols>
    <col min="1" max="1" width="19" customWidth="1"/>
    <col min="2" max="2" width="24.5" customWidth="1"/>
    <col min="3" max="3" width="39.83203125" customWidth="1"/>
    <col min="4" max="4" width="15.5" customWidth="1"/>
    <col min="5" max="6" width="18.5" customWidth="1"/>
    <col min="7" max="7" width="12.5" customWidth="1"/>
  </cols>
  <sheetData>
    <row r="1" spans="1:7" ht="15.75" customHeight="1" x14ac:dyDescent="0.15">
      <c r="A1" s="1" t="s">
        <v>910</v>
      </c>
      <c r="B1" s="2"/>
      <c r="C1" s="3" t="s">
        <v>2</v>
      </c>
      <c r="D1" s="250" t="s">
        <v>715</v>
      </c>
      <c r="E1" s="250" t="s">
        <v>911</v>
      </c>
      <c r="F1" s="250" t="s">
        <v>912</v>
      </c>
      <c r="G1" s="250" t="s">
        <v>717</v>
      </c>
    </row>
    <row r="2" spans="1:7" ht="15.75" customHeight="1" x14ac:dyDescent="0.15">
      <c r="A2" s="400" t="s">
        <v>6</v>
      </c>
      <c r="B2" s="402" t="s">
        <v>7</v>
      </c>
      <c r="C2" s="7" t="s">
        <v>8</v>
      </c>
      <c r="D2" s="132">
        <v>1.59</v>
      </c>
      <c r="E2" s="131">
        <v>1.79</v>
      </c>
      <c r="F2" s="131">
        <f t="shared" ref="F2:F256" si="0">(E2*0.04)+E2</f>
        <v>1.8616000000000001</v>
      </c>
      <c r="G2" s="251">
        <f t="shared" ref="G2:G66" si="1">+(E2/D2)-1</f>
        <v>0.12578616352201255</v>
      </c>
    </row>
    <row r="3" spans="1:7" ht="15.75" customHeight="1" x14ac:dyDescent="0.15">
      <c r="A3" s="390"/>
      <c r="B3" s="368"/>
      <c r="C3" s="12" t="s">
        <v>9</v>
      </c>
      <c r="D3" s="13">
        <v>1.59</v>
      </c>
      <c r="E3" s="133">
        <v>1.79</v>
      </c>
      <c r="F3" s="131">
        <f t="shared" si="0"/>
        <v>1.8616000000000001</v>
      </c>
      <c r="G3" s="251">
        <f t="shared" si="1"/>
        <v>0.12578616352201255</v>
      </c>
    </row>
    <row r="4" spans="1:7" ht="15.75" customHeight="1" x14ac:dyDescent="0.15">
      <c r="A4" s="390"/>
      <c r="B4" s="368"/>
      <c r="C4" s="12" t="s">
        <v>10</v>
      </c>
      <c r="D4" s="13">
        <v>1.59</v>
      </c>
      <c r="E4" s="133">
        <v>1.79</v>
      </c>
      <c r="F4" s="131">
        <f t="shared" si="0"/>
        <v>1.8616000000000001</v>
      </c>
      <c r="G4" s="251">
        <f t="shared" si="1"/>
        <v>0.12578616352201255</v>
      </c>
    </row>
    <row r="5" spans="1:7" ht="15.75" customHeight="1" x14ac:dyDescent="0.15">
      <c r="A5" s="390"/>
      <c r="B5" s="368"/>
      <c r="C5" s="12" t="s">
        <v>11</v>
      </c>
      <c r="D5" s="13">
        <v>1.59</v>
      </c>
      <c r="E5" s="133">
        <v>1.79</v>
      </c>
      <c r="F5" s="131">
        <f t="shared" si="0"/>
        <v>1.8616000000000001</v>
      </c>
      <c r="G5" s="251">
        <f t="shared" si="1"/>
        <v>0.12578616352201255</v>
      </c>
    </row>
    <row r="6" spans="1:7" ht="15.75" customHeight="1" x14ac:dyDescent="0.15">
      <c r="A6" s="390"/>
      <c r="B6" s="368"/>
      <c r="C6" s="12" t="s">
        <v>14</v>
      </c>
      <c r="D6" s="13">
        <v>1.59</v>
      </c>
      <c r="E6" s="133">
        <v>1.79</v>
      </c>
      <c r="F6" s="131">
        <f t="shared" si="0"/>
        <v>1.8616000000000001</v>
      </c>
      <c r="G6" s="251">
        <f t="shared" si="1"/>
        <v>0.12578616352201255</v>
      </c>
    </row>
    <row r="7" spans="1:7" ht="15.75" customHeight="1" x14ac:dyDescent="0.15">
      <c r="A7" s="390"/>
      <c r="B7" s="368"/>
      <c r="C7" s="12" t="s">
        <v>15</v>
      </c>
      <c r="D7" s="13">
        <v>1.59</v>
      </c>
      <c r="E7" s="133">
        <v>1.79</v>
      </c>
      <c r="F7" s="131">
        <f t="shared" si="0"/>
        <v>1.8616000000000001</v>
      </c>
      <c r="G7" s="251">
        <f t="shared" si="1"/>
        <v>0.12578616352201255</v>
      </c>
    </row>
    <row r="8" spans="1:7" ht="15.75" customHeight="1" x14ac:dyDescent="0.15">
      <c r="A8" s="390"/>
      <c r="B8" s="368"/>
      <c r="C8" s="12" t="s">
        <v>16</v>
      </c>
      <c r="D8" s="13">
        <v>1.59</v>
      </c>
      <c r="E8" s="133">
        <v>1.79</v>
      </c>
      <c r="F8" s="131">
        <f t="shared" si="0"/>
        <v>1.8616000000000001</v>
      </c>
      <c r="G8" s="251">
        <f t="shared" si="1"/>
        <v>0.12578616352201255</v>
      </c>
    </row>
    <row r="9" spans="1:7" ht="15.75" customHeight="1" x14ac:dyDescent="0.15">
      <c r="A9" s="390"/>
      <c r="B9" s="368"/>
      <c r="C9" s="12" t="s">
        <v>17</v>
      </c>
      <c r="D9" s="13">
        <v>1.59</v>
      </c>
      <c r="E9" s="133">
        <v>1.79</v>
      </c>
      <c r="F9" s="131">
        <f t="shared" si="0"/>
        <v>1.8616000000000001</v>
      </c>
      <c r="G9" s="251">
        <f t="shared" si="1"/>
        <v>0.12578616352201255</v>
      </c>
    </row>
    <row r="10" spans="1:7" ht="15.75" customHeight="1" x14ac:dyDescent="0.15">
      <c r="A10" s="390"/>
      <c r="B10" s="368"/>
      <c r="C10" s="12" t="s">
        <v>18</v>
      </c>
      <c r="D10" s="13">
        <v>1.59</v>
      </c>
      <c r="E10" s="133">
        <v>1.79</v>
      </c>
      <c r="F10" s="131">
        <f t="shared" si="0"/>
        <v>1.8616000000000001</v>
      </c>
      <c r="G10" s="251">
        <f t="shared" si="1"/>
        <v>0.12578616352201255</v>
      </c>
    </row>
    <row r="11" spans="1:7" ht="15.75" customHeight="1" x14ac:dyDescent="0.15">
      <c r="A11" s="390"/>
      <c r="B11" s="368"/>
      <c r="C11" s="12" t="s">
        <v>19</v>
      </c>
      <c r="D11" s="13">
        <v>1.59</v>
      </c>
      <c r="E11" s="133">
        <v>1.79</v>
      </c>
      <c r="F11" s="131">
        <f t="shared" si="0"/>
        <v>1.8616000000000001</v>
      </c>
      <c r="G11" s="251">
        <f t="shared" si="1"/>
        <v>0.12578616352201255</v>
      </c>
    </row>
    <row r="12" spans="1:7" ht="15.75" customHeight="1" x14ac:dyDescent="0.15">
      <c r="A12" s="390"/>
      <c r="B12" s="366"/>
      <c r="C12" s="12" t="s">
        <v>20</v>
      </c>
      <c r="D12" s="13">
        <v>1.59</v>
      </c>
      <c r="E12" s="133">
        <v>1.79</v>
      </c>
      <c r="F12" s="131">
        <f t="shared" si="0"/>
        <v>1.8616000000000001</v>
      </c>
      <c r="G12" s="251">
        <f t="shared" si="1"/>
        <v>0.12578616352201255</v>
      </c>
    </row>
    <row r="13" spans="1:7" ht="15.75" customHeight="1" x14ac:dyDescent="0.15">
      <c r="A13" s="390"/>
      <c r="B13" s="16" t="s">
        <v>21</v>
      </c>
      <c r="C13" s="12" t="s">
        <v>720</v>
      </c>
      <c r="D13" s="13">
        <v>2.99</v>
      </c>
      <c r="E13" s="133">
        <v>2.99</v>
      </c>
      <c r="F13" s="131">
        <f t="shared" si="0"/>
        <v>3.1096000000000004</v>
      </c>
      <c r="G13" s="251">
        <f t="shared" si="1"/>
        <v>0</v>
      </c>
    </row>
    <row r="14" spans="1:7" ht="15.75" customHeight="1" x14ac:dyDescent="0.15">
      <c r="A14" s="390"/>
      <c r="B14" s="16" t="s">
        <v>22</v>
      </c>
      <c r="C14" s="12" t="s">
        <v>23</v>
      </c>
      <c r="D14" s="13">
        <v>2.65</v>
      </c>
      <c r="E14" s="133">
        <v>2.99</v>
      </c>
      <c r="F14" s="131">
        <f t="shared" si="0"/>
        <v>3.1096000000000004</v>
      </c>
      <c r="G14" s="251">
        <f t="shared" si="1"/>
        <v>0.12830188679245302</v>
      </c>
    </row>
    <row r="15" spans="1:7" ht="15.75" customHeight="1" x14ac:dyDescent="0.15">
      <c r="A15" s="390"/>
      <c r="B15" s="413" t="s">
        <v>24</v>
      </c>
      <c r="C15" s="12" t="s">
        <v>25</v>
      </c>
      <c r="D15" s="13">
        <v>1.85</v>
      </c>
      <c r="E15" s="252">
        <v>1.99</v>
      </c>
      <c r="F15" s="131">
        <f t="shared" si="0"/>
        <v>2.0695999999999999</v>
      </c>
      <c r="G15" s="251">
        <f t="shared" si="1"/>
        <v>7.5675675675675569E-2</v>
      </c>
    </row>
    <row r="16" spans="1:7" ht="15.75" customHeight="1" x14ac:dyDescent="0.15">
      <c r="A16" s="391"/>
      <c r="B16" s="414"/>
      <c r="C16" s="19" t="s">
        <v>26</v>
      </c>
      <c r="D16" s="92">
        <v>1.99</v>
      </c>
      <c r="E16" s="133">
        <v>1.99</v>
      </c>
      <c r="F16" s="131">
        <f t="shared" si="0"/>
        <v>2.0695999999999999</v>
      </c>
      <c r="G16" s="251">
        <f t="shared" si="1"/>
        <v>0</v>
      </c>
    </row>
    <row r="17" spans="1:7" ht="15.75" customHeight="1" x14ac:dyDescent="0.15">
      <c r="A17" s="400" t="s">
        <v>27</v>
      </c>
      <c r="B17" s="402" t="s">
        <v>28</v>
      </c>
      <c r="C17" s="7" t="s">
        <v>16</v>
      </c>
      <c r="D17" s="132">
        <v>2.99</v>
      </c>
      <c r="E17" s="131">
        <v>3.25</v>
      </c>
      <c r="F17" s="131">
        <f t="shared" si="0"/>
        <v>3.38</v>
      </c>
      <c r="G17" s="251">
        <f t="shared" si="1"/>
        <v>8.6956521739130377E-2</v>
      </c>
    </row>
    <row r="18" spans="1:7" ht="15.75" customHeight="1" x14ac:dyDescent="0.15">
      <c r="A18" s="390"/>
      <c r="B18" s="368"/>
      <c r="C18" s="12" t="s">
        <v>18</v>
      </c>
      <c r="D18" s="13">
        <v>2.99</v>
      </c>
      <c r="E18" s="133">
        <v>3.25</v>
      </c>
      <c r="F18" s="131">
        <f t="shared" si="0"/>
        <v>3.38</v>
      </c>
      <c r="G18" s="251">
        <f t="shared" si="1"/>
        <v>8.6956521739130377E-2</v>
      </c>
    </row>
    <row r="19" spans="1:7" ht="15.75" customHeight="1" x14ac:dyDescent="0.15">
      <c r="A19" s="390"/>
      <c r="B19" s="368"/>
      <c r="C19" s="12" t="s">
        <v>20</v>
      </c>
      <c r="D19" s="13">
        <v>2.99</v>
      </c>
      <c r="E19" s="133">
        <v>3.25</v>
      </c>
      <c r="F19" s="131">
        <f t="shared" si="0"/>
        <v>3.38</v>
      </c>
      <c r="G19" s="251">
        <f t="shared" si="1"/>
        <v>8.6956521739130377E-2</v>
      </c>
    </row>
    <row r="20" spans="1:7" ht="15.75" customHeight="1" x14ac:dyDescent="0.15">
      <c r="A20" s="390"/>
      <c r="B20" s="368"/>
      <c r="C20" s="12" t="s">
        <v>29</v>
      </c>
      <c r="D20" s="13">
        <v>2.99</v>
      </c>
      <c r="E20" s="133">
        <v>3.25</v>
      </c>
      <c r="F20" s="131">
        <f t="shared" si="0"/>
        <v>3.38</v>
      </c>
      <c r="G20" s="251">
        <f t="shared" si="1"/>
        <v>8.6956521739130377E-2</v>
      </c>
    </row>
    <row r="21" spans="1:7" ht="15.75" customHeight="1" x14ac:dyDescent="0.15">
      <c r="A21" s="390"/>
      <c r="B21" s="366"/>
      <c r="C21" s="12" t="s">
        <v>30</v>
      </c>
      <c r="D21" s="13">
        <v>2.99</v>
      </c>
      <c r="E21" s="133">
        <v>3.25</v>
      </c>
      <c r="F21" s="131">
        <f t="shared" si="0"/>
        <v>3.38</v>
      </c>
      <c r="G21" s="251">
        <f t="shared" si="1"/>
        <v>8.6956521739130377E-2</v>
      </c>
    </row>
    <row r="22" spans="1:7" ht="15.75" customHeight="1" x14ac:dyDescent="0.15">
      <c r="A22" s="390"/>
      <c r="B22" s="401" t="s">
        <v>31</v>
      </c>
      <c r="C22" s="12" t="s">
        <v>16</v>
      </c>
      <c r="D22" s="13">
        <v>2.99</v>
      </c>
      <c r="E22" s="133">
        <v>3.25</v>
      </c>
      <c r="F22" s="131">
        <f t="shared" si="0"/>
        <v>3.38</v>
      </c>
      <c r="G22" s="251">
        <f t="shared" si="1"/>
        <v>8.6956521739130377E-2</v>
      </c>
    </row>
    <row r="23" spans="1:7" ht="15.75" customHeight="1" x14ac:dyDescent="0.15">
      <c r="A23" s="390"/>
      <c r="B23" s="368"/>
      <c r="C23" s="12" t="s">
        <v>18</v>
      </c>
      <c r="D23" s="13">
        <v>2.99</v>
      </c>
      <c r="E23" s="133">
        <v>3.25</v>
      </c>
      <c r="F23" s="131">
        <f t="shared" si="0"/>
        <v>3.38</v>
      </c>
      <c r="G23" s="251">
        <f t="shared" si="1"/>
        <v>8.6956521739130377E-2</v>
      </c>
    </row>
    <row r="24" spans="1:7" ht="15.75" customHeight="1" x14ac:dyDescent="0.15">
      <c r="A24" s="390"/>
      <c r="B24" s="368"/>
      <c r="C24" s="12" t="s">
        <v>20</v>
      </c>
      <c r="D24" s="13">
        <v>2.99</v>
      </c>
      <c r="E24" s="133">
        <v>3.25</v>
      </c>
      <c r="F24" s="131">
        <f t="shared" si="0"/>
        <v>3.38</v>
      </c>
      <c r="G24" s="251">
        <f t="shared" si="1"/>
        <v>8.6956521739130377E-2</v>
      </c>
    </row>
    <row r="25" spans="1:7" ht="15.75" customHeight="1" x14ac:dyDescent="0.15">
      <c r="A25" s="390"/>
      <c r="B25" s="368"/>
      <c r="C25" s="12" t="s">
        <v>29</v>
      </c>
      <c r="D25" s="13">
        <v>2.99</v>
      </c>
      <c r="E25" s="133">
        <v>3.25</v>
      </c>
      <c r="F25" s="131">
        <f t="shared" si="0"/>
        <v>3.38</v>
      </c>
      <c r="G25" s="251">
        <f t="shared" si="1"/>
        <v>8.6956521739130377E-2</v>
      </c>
    </row>
    <row r="26" spans="1:7" ht="15.75" customHeight="1" x14ac:dyDescent="0.15">
      <c r="A26" s="390"/>
      <c r="B26" s="368"/>
      <c r="C26" s="20" t="s">
        <v>30</v>
      </c>
      <c r="D26" s="86">
        <v>2.99</v>
      </c>
      <c r="E26" s="133">
        <v>3.25</v>
      </c>
      <c r="F26" s="131">
        <f t="shared" si="0"/>
        <v>3.38</v>
      </c>
      <c r="G26" s="251">
        <f t="shared" si="1"/>
        <v>8.6956521739130377E-2</v>
      </c>
    </row>
    <row r="27" spans="1:7" ht="15.75" customHeight="1" x14ac:dyDescent="0.15">
      <c r="A27" s="390"/>
      <c r="B27" s="366"/>
      <c r="C27" s="21" t="s">
        <v>33</v>
      </c>
      <c r="D27" s="13">
        <v>3.48</v>
      </c>
      <c r="E27" s="253">
        <v>3.48</v>
      </c>
      <c r="F27" s="131">
        <f t="shared" si="0"/>
        <v>3.6192000000000002</v>
      </c>
      <c r="G27" s="251">
        <f t="shared" si="1"/>
        <v>0</v>
      </c>
    </row>
    <row r="28" spans="1:7" ht="15.75" customHeight="1" x14ac:dyDescent="0.15">
      <c r="A28" s="390"/>
      <c r="B28" s="401" t="s">
        <v>35</v>
      </c>
      <c r="C28" s="8" t="s">
        <v>36</v>
      </c>
      <c r="D28" s="9">
        <v>2.59</v>
      </c>
      <c r="E28" s="136">
        <v>2.85</v>
      </c>
      <c r="F28" s="131">
        <f t="shared" si="0"/>
        <v>2.964</v>
      </c>
      <c r="G28" s="251">
        <f t="shared" si="1"/>
        <v>0.10038610038610041</v>
      </c>
    </row>
    <row r="29" spans="1:7" ht="15.75" customHeight="1" x14ac:dyDescent="0.15">
      <c r="A29" s="390"/>
      <c r="B29" s="368"/>
      <c r="C29" s="12" t="s">
        <v>37</v>
      </c>
      <c r="D29" s="13">
        <v>2.59</v>
      </c>
      <c r="E29" s="133">
        <v>2.85</v>
      </c>
      <c r="F29" s="131">
        <f t="shared" si="0"/>
        <v>2.964</v>
      </c>
      <c r="G29" s="251">
        <f t="shared" si="1"/>
        <v>0.10038610038610041</v>
      </c>
    </row>
    <row r="30" spans="1:7" ht="15.75" customHeight="1" x14ac:dyDescent="0.15">
      <c r="A30" s="390"/>
      <c r="B30" s="366"/>
      <c r="C30" s="12" t="s">
        <v>18</v>
      </c>
      <c r="D30" s="13">
        <v>2.59</v>
      </c>
      <c r="E30" s="133">
        <v>2.85</v>
      </c>
      <c r="F30" s="131">
        <f t="shared" si="0"/>
        <v>2.964</v>
      </c>
      <c r="G30" s="251">
        <f t="shared" si="1"/>
        <v>0.10038610038610041</v>
      </c>
    </row>
    <row r="31" spans="1:7" ht="15.75" customHeight="1" x14ac:dyDescent="0.15">
      <c r="A31" s="390"/>
      <c r="B31" s="401" t="s">
        <v>38</v>
      </c>
      <c r="C31" s="12" t="s">
        <v>16</v>
      </c>
      <c r="D31" s="13">
        <v>3.25</v>
      </c>
      <c r="E31" s="133">
        <v>3.49</v>
      </c>
      <c r="F31" s="131">
        <f t="shared" si="0"/>
        <v>3.6296000000000004</v>
      </c>
      <c r="G31" s="251">
        <f t="shared" si="1"/>
        <v>7.3846153846153895E-2</v>
      </c>
    </row>
    <row r="32" spans="1:7" ht="15.75" customHeight="1" x14ac:dyDescent="0.15">
      <c r="A32" s="390"/>
      <c r="B32" s="366"/>
      <c r="C32" s="12" t="s">
        <v>8</v>
      </c>
      <c r="D32" s="13">
        <v>3.25</v>
      </c>
      <c r="E32" s="133">
        <v>3.49</v>
      </c>
      <c r="F32" s="131">
        <f t="shared" si="0"/>
        <v>3.6296000000000004</v>
      </c>
      <c r="G32" s="251">
        <f t="shared" si="1"/>
        <v>7.3846153846153895E-2</v>
      </c>
    </row>
    <row r="33" spans="1:7" ht="15.75" customHeight="1" x14ac:dyDescent="0.15">
      <c r="A33" s="390"/>
      <c r="B33" s="401" t="s">
        <v>39</v>
      </c>
      <c r="C33" s="12" t="s">
        <v>40</v>
      </c>
      <c r="D33" s="13">
        <v>3.99</v>
      </c>
      <c r="E33" s="252">
        <v>4.29</v>
      </c>
      <c r="F33" s="131">
        <f t="shared" si="0"/>
        <v>4.4615999999999998</v>
      </c>
      <c r="G33" s="251">
        <f t="shared" si="1"/>
        <v>7.5187969924811915E-2</v>
      </c>
    </row>
    <row r="34" spans="1:7" ht="33.75" customHeight="1" x14ac:dyDescent="0.15">
      <c r="A34" s="391"/>
      <c r="B34" s="378"/>
      <c r="C34" s="19" t="s">
        <v>41</v>
      </c>
      <c r="D34" s="92">
        <v>19.989999999999998</v>
      </c>
      <c r="E34" s="254">
        <v>19.989999999999998</v>
      </c>
      <c r="F34" s="131">
        <f t="shared" si="0"/>
        <v>20.7896</v>
      </c>
      <c r="G34" s="251">
        <f t="shared" si="1"/>
        <v>0</v>
      </c>
    </row>
    <row r="35" spans="1:7" ht="15.75" customHeight="1" x14ac:dyDescent="0.15">
      <c r="A35" s="400" t="s">
        <v>42</v>
      </c>
      <c r="B35" s="402" t="s">
        <v>43</v>
      </c>
      <c r="C35" s="7" t="s">
        <v>19</v>
      </c>
      <c r="D35" s="132">
        <v>1.1499999999999999</v>
      </c>
      <c r="E35" s="131">
        <v>1.25</v>
      </c>
      <c r="F35" s="131">
        <f t="shared" si="0"/>
        <v>1.3</v>
      </c>
      <c r="G35" s="251">
        <f t="shared" si="1"/>
        <v>8.6956521739130599E-2</v>
      </c>
    </row>
    <row r="36" spans="1:7" ht="15.75" customHeight="1" x14ac:dyDescent="0.15">
      <c r="A36" s="390"/>
      <c r="B36" s="368"/>
      <c r="C36" s="21" t="s">
        <v>18</v>
      </c>
      <c r="D36" s="13">
        <v>1.1499999999999999</v>
      </c>
      <c r="E36" s="133">
        <v>1.25</v>
      </c>
      <c r="F36" s="131">
        <f t="shared" si="0"/>
        <v>1.3</v>
      </c>
      <c r="G36" s="251">
        <f t="shared" si="1"/>
        <v>8.6956521739130599E-2</v>
      </c>
    </row>
    <row r="37" spans="1:7" ht="15.75" customHeight="1" x14ac:dyDescent="0.15">
      <c r="A37" s="390"/>
      <c r="B37" s="368"/>
      <c r="C37" s="21" t="s">
        <v>44</v>
      </c>
      <c r="D37" s="13">
        <v>1.1499999999999999</v>
      </c>
      <c r="E37" s="133">
        <v>1.25</v>
      </c>
      <c r="F37" s="131">
        <f t="shared" si="0"/>
        <v>1.3</v>
      </c>
      <c r="G37" s="251">
        <f t="shared" si="1"/>
        <v>8.6956521739130599E-2</v>
      </c>
    </row>
    <row r="38" spans="1:7" ht="15.75" customHeight="1" x14ac:dyDescent="0.15">
      <c r="A38" s="390"/>
      <c r="B38" s="368"/>
      <c r="C38" s="21" t="s">
        <v>45</v>
      </c>
      <c r="D38" s="13">
        <v>1.1499999999999999</v>
      </c>
      <c r="E38" s="133">
        <v>1.25</v>
      </c>
      <c r="F38" s="131">
        <f t="shared" si="0"/>
        <v>1.3</v>
      </c>
      <c r="G38" s="251">
        <f t="shared" si="1"/>
        <v>8.6956521739130599E-2</v>
      </c>
    </row>
    <row r="39" spans="1:7" ht="15.75" customHeight="1" x14ac:dyDescent="0.15">
      <c r="A39" s="390"/>
      <c r="B39" s="368"/>
      <c r="C39" s="21" t="s">
        <v>36</v>
      </c>
      <c r="D39" s="13">
        <v>1.1499999999999999</v>
      </c>
      <c r="E39" s="133">
        <v>1.25</v>
      </c>
      <c r="F39" s="131">
        <f t="shared" si="0"/>
        <v>1.3</v>
      </c>
      <c r="G39" s="251">
        <f t="shared" si="1"/>
        <v>8.6956521739130599E-2</v>
      </c>
    </row>
    <row r="40" spans="1:7" ht="15.75" customHeight="1" x14ac:dyDescent="0.15">
      <c r="A40" s="390"/>
      <c r="B40" s="366"/>
      <c r="C40" s="21" t="s">
        <v>46</v>
      </c>
      <c r="D40" s="13">
        <v>1.1499999999999999</v>
      </c>
      <c r="E40" s="133">
        <v>1.25</v>
      </c>
      <c r="F40" s="131">
        <f t="shared" si="0"/>
        <v>1.3</v>
      </c>
      <c r="G40" s="251">
        <f t="shared" si="1"/>
        <v>8.6956521739130599E-2</v>
      </c>
    </row>
    <row r="41" spans="1:7" ht="15.75" customHeight="1" x14ac:dyDescent="0.15">
      <c r="A41" s="391"/>
      <c r="B41" s="26" t="s">
        <v>47</v>
      </c>
      <c r="C41" s="19" t="s">
        <v>19</v>
      </c>
      <c r="D41" s="92">
        <v>1.55</v>
      </c>
      <c r="E41" s="134">
        <v>1.69</v>
      </c>
      <c r="F41" s="131">
        <f t="shared" si="0"/>
        <v>1.7576000000000001</v>
      </c>
      <c r="G41" s="251">
        <f t="shared" si="1"/>
        <v>9.0322580645161299E-2</v>
      </c>
    </row>
    <row r="42" spans="1:7" ht="15.75" customHeight="1" x14ac:dyDescent="0.15">
      <c r="A42" s="427" t="s">
        <v>48</v>
      </c>
      <c r="B42" s="402" t="s">
        <v>49</v>
      </c>
      <c r="C42" s="25" t="s">
        <v>50</v>
      </c>
      <c r="D42" s="132">
        <v>1.69</v>
      </c>
      <c r="E42" s="131">
        <v>1.69</v>
      </c>
      <c r="F42" s="131">
        <f t="shared" si="0"/>
        <v>1.7576000000000001</v>
      </c>
      <c r="G42" s="251">
        <f t="shared" si="1"/>
        <v>0</v>
      </c>
    </row>
    <row r="43" spans="1:7" ht="15.75" customHeight="1" x14ac:dyDescent="0.15">
      <c r="A43" s="390"/>
      <c r="B43" s="366"/>
      <c r="C43" s="12" t="s">
        <v>51</v>
      </c>
      <c r="D43" s="13">
        <v>2.99</v>
      </c>
      <c r="E43" s="133">
        <v>2.99</v>
      </c>
      <c r="F43" s="131">
        <f t="shared" si="0"/>
        <v>3.1096000000000004</v>
      </c>
      <c r="G43" s="251">
        <f t="shared" si="1"/>
        <v>0</v>
      </c>
    </row>
    <row r="44" spans="1:7" ht="15.75" customHeight="1" x14ac:dyDescent="0.15">
      <c r="A44" s="391"/>
      <c r="B44" s="26" t="s">
        <v>52</v>
      </c>
      <c r="C44" s="27" t="s">
        <v>51</v>
      </c>
      <c r="D44" s="92">
        <v>2.89</v>
      </c>
      <c r="E44" s="134">
        <v>2.89</v>
      </c>
      <c r="F44" s="131">
        <f t="shared" si="0"/>
        <v>3.0056000000000003</v>
      </c>
      <c r="G44" s="251">
        <f t="shared" si="1"/>
        <v>0</v>
      </c>
    </row>
    <row r="45" spans="1:7" ht="15.75" customHeight="1" x14ac:dyDescent="0.15">
      <c r="A45" s="393" t="s">
        <v>53</v>
      </c>
      <c r="B45" s="402" t="s">
        <v>54</v>
      </c>
      <c r="C45" s="7" t="s">
        <v>36</v>
      </c>
      <c r="D45" s="132">
        <v>2.39</v>
      </c>
      <c r="E45" s="131">
        <v>2.4900000000000002</v>
      </c>
      <c r="F45" s="131">
        <f t="shared" si="0"/>
        <v>2.5896000000000003</v>
      </c>
      <c r="G45" s="251">
        <f t="shared" si="1"/>
        <v>4.1841004184100417E-2</v>
      </c>
    </row>
    <row r="46" spans="1:7" ht="15.75" customHeight="1" x14ac:dyDescent="0.15">
      <c r="A46" s="390"/>
      <c r="B46" s="366"/>
      <c r="C46" s="21" t="s">
        <v>55</v>
      </c>
      <c r="D46" s="13">
        <v>2.39</v>
      </c>
      <c r="E46" s="133">
        <f>D46*1.04</f>
        <v>2.4856000000000003</v>
      </c>
      <c r="F46" s="131">
        <f t="shared" si="0"/>
        <v>2.5850240000000002</v>
      </c>
      <c r="G46" s="251">
        <f t="shared" si="1"/>
        <v>4.0000000000000036E-2</v>
      </c>
    </row>
    <row r="47" spans="1:7" ht="15.75" customHeight="1" x14ac:dyDescent="0.15">
      <c r="A47" s="390"/>
      <c r="B47" s="16" t="s">
        <v>56</v>
      </c>
      <c r="C47" s="21"/>
      <c r="D47" s="13">
        <v>2.99</v>
      </c>
      <c r="E47" s="133">
        <v>3.29</v>
      </c>
      <c r="F47" s="131">
        <f t="shared" si="0"/>
        <v>3.4216000000000002</v>
      </c>
      <c r="G47" s="251">
        <f t="shared" si="1"/>
        <v>0.10033444816053505</v>
      </c>
    </row>
    <row r="48" spans="1:7" ht="15.75" customHeight="1" x14ac:dyDescent="0.15">
      <c r="A48" s="390"/>
      <c r="B48" s="16" t="s">
        <v>58</v>
      </c>
      <c r="C48" s="21"/>
      <c r="D48" s="13">
        <v>2.25</v>
      </c>
      <c r="E48" s="133">
        <v>2.25</v>
      </c>
      <c r="F48" s="131">
        <f t="shared" si="0"/>
        <v>2.34</v>
      </c>
      <c r="G48" s="251">
        <f t="shared" si="1"/>
        <v>0</v>
      </c>
    </row>
    <row r="49" spans="1:7" ht="15.75" customHeight="1" x14ac:dyDescent="0.15">
      <c r="A49" s="391"/>
      <c r="B49" s="26" t="s">
        <v>59</v>
      </c>
      <c r="C49" s="27"/>
      <c r="D49" s="92">
        <v>1.49</v>
      </c>
      <c r="E49" s="134">
        <v>1.49</v>
      </c>
      <c r="F49" s="131">
        <f t="shared" si="0"/>
        <v>1.5496000000000001</v>
      </c>
      <c r="G49" s="251">
        <f t="shared" si="1"/>
        <v>0</v>
      </c>
    </row>
    <row r="50" spans="1:7" ht="15.75" customHeight="1" x14ac:dyDescent="0.15">
      <c r="A50" s="400" t="s">
        <v>67</v>
      </c>
      <c r="B50" s="402" t="s">
        <v>68</v>
      </c>
      <c r="C50" s="25" t="s">
        <v>8</v>
      </c>
      <c r="D50" s="132">
        <v>17.989999999999998</v>
      </c>
      <c r="E50" s="131">
        <v>19.489999999999998</v>
      </c>
      <c r="F50" s="131">
        <f t="shared" si="0"/>
        <v>20.269599999999997</v>
      </c>
      <c r="G50" s="251">
        <f t="shared" si="1"/>
        <v>8.3379655364091088E-2</v>
      </c>
    </row>
    <row r="51" spans="1:7" ht="15.75" customHeight="1" x14ac:dyDescent="0.15">
      <c r="A51" s="390"/>
      <c r="B51" s="368"/>
      <c r="C51" s="21" t="s">
        <v>9</v>
      </c>
      <c r="D51" s="13">
        <v>17.989999999999998</v>
      </c>
      <c r="E51" s="133">
        <v>19.489999999999998</v>
      </c>
      <c r="F51" s="131">
        <f t="shared" si="0"/>
        <v>20.269599999999997</v>
      </c>
      <c r="G51" s="251">
        <f t="shared" si="1"/>
        <v>8.3379655364091088E-2</v>
      </c>
    </row>
    <row r="52" spans="1:7" ht="15.75" customHeight="1" x14ac:dyDescent="0.15">
      <c r="A52" s="390"/>
      <c r="B52" s="368"/>
      <c r="C52" s="21" t="s">
        <v>10</v>
      </c>
      <c r="D52" s="13">
        <v>17.989999999999998</v>
      </c>
      <c r="E52" s="133">
        <v>19.489999999999998</v>
      </c>
      <c r="F52" s="131">
        <f t="shared" si="0"/>
        <v>20.269599999999997</v>
      </c>
      <c r="G52" s="251">
        <f t="shared" si="1"/>
        <v>8.3379655364091088E-2</v>
      </c>
    </row>
    <row r="53" spans="1:7" ht="15.75" customHeight="1" x14ac:dyDescent="0.15">
      <c r="A53" s="390"/>
      <c r="B53" s="366"/>
      <c r="C53" s="21" t="s">
        <v>16</v>
      </c>
      <c r="D53" s="13">
        <v>17.989999999999998</v>
      </c>
      <c r="E53" s="133">
        <v>19.489999999999998</v>
      </c>
      <c r="F53" s="131">
        <f t="shared" si="0"/>
        <v>20.269599999999997</v>
      </c>
      <c r="G53" s="251">
        <f t="shared" si="1"/>
        <v>8.3379655364091088E-2</v>
      </c>
    </row>
    <row r="54" spans="1:7" ht="15.75" customHeight="1" x14ac:dyDescent="0.15">
      <c r="A54" s="390"/>
      <c r="B54" s="401" t="s">
        <v>75</v>
      </c>
      <c r="C54" s="21" t="s">
        <v>76</v>
      </c>
      <c r="D54" s="13">
        <v>29.99</v>
      </c>
      <c r="E54" s="133">
        <v>34.99</v>
      </c>
      <c r="F54" s="131">
        <f t="shared" si="0"/>
        <v>36.389600000000002</v>
      </c>
      <c r="G54" s="251">
        <f t="shared" si="1"/>
        <v>0.16672224074691577</v>
      </c>
    </row>
    <row r="55" spans="1:7" ht="15.75" customHeight="1" x14ac:dyDescent="0.15">
      <c r="A55" s="390"/>
      <c r="B55" s="366"/>
      <c r="C55" s="12" t="s">
        <v>77</v>
      </c>
      <c r="D55" s="13">
        <v>29.99</v>
      </c>
      <c r="E55" s="133">
        <v>34.99</v>
      </c>
      <c r="F55" s="131">
        <f t="shared" si="0"/>
        <v>36.389600000000002</v>
      </c>
      <c r="G55" s="251">
        <f t="shared" si="1"/>
        <v>0.16672224074691577</v>
      </c>
    </row>
    <row r="56" spans="1:7" ht="15.75" customHeight="1" x14ac:dyDescent="0.15">
      <c r="A56" s="390"/>
      <c r="B56" s="401" t="s">
        <v>78</v>
      </c>
      <c r="C56" s="21" t="s">
        <v>79</v>
      </c>
      <c r="D56" s="13">
        <v>12.5</v>
      </c>
      <c r="E56" s="133">
        <v>12.99</v>
      </c>
      <c r="F56" s="131">
        <f t="shared" si="0"/>
        <v>13.509600000000001</v>
      </c>
      <c r="G56" s="251">
        <f t="shared" si="1"/>
        <v>3.9200000000000124E-2</v>
      </c>
    </row>
    <row r="57" spans="1:7" ht="15.75" customHeight="1" x14ac:dyDescent="0.15">
      <c r="A57" s="390"/>
      <c r="B57" s="366"/>
      <c r="C57" s="21" t="s">
        <v>80</v>
      </c>
      <c r="D57" s="13">
        <v>17.989999999999998</v>
      </c>
      <c r="E57" s="133">
        <v>18.75</v>
      </c>
      <c r="F57" s="131">
        <f t="shared" si="0"/>
        <v>19.5</v>
      </c>
      <c r="G57" s="251">
        <f t="shared" si="1"/>
        <v>4.2245692051139594E-2</v>
      </c>
    </row>
    <row r="58" spans="1:7" ht="15.75" customHeight="1" x14ac:dyDescent="0.15">
      <c r="A58" s="391"/>
      <c r="B58" s="26" t="s">
        <v>81</v>
      </c>
      <c r="C58" s="27"/>
      <c r="D58" s="92">
        <v>24.99</v>
      </c>
      <c r="E58" s="254">
        <v>28.75</v>
      </c>
      <c r="F58" s="131">
        <f t="shared" si="0"/>
        <v>29.9</v>
      </c>
      <c r="G58" s="251">
        <f t="shared" si="1"/>
        <v>0.15046018407362949</v>
      </c>
    </row>
    <row r="59" spans="1:7" ht="15.75" customHeight="1" x14ac:dyDescent="0.15">
      <c r="A59" s="400" t="s">
        <v>88</v>
      </c>
      <c r="B59" s="33" t="s">
        <v>89</v>
      </c>
      <c r="C59" s="25"/>
      <c r="D59" s="132">
        <v>2.4900000000000002</v>
      </c>
      <c r="E59" s="131">
        <v>2.4900000000000002</v>
      </c>
      <c r="F59" s="131">
        <f t="shared" si="0"/>
        <v>2.5896000000000003</v>
      </c>
      <c r="G59" s="251">
        <f t="shared" si="1"/>
        <v>0</v>
      </c>
    </row>
    <row r="60" spans="1:7" ht="15.75" customHeight="1" x14ac:dyDescent="0.15">
      <c r="A60" s="390"/>
      <c r="B60" s="16" t="s">
        <v>90</v>
      </c>
      <c r="C60" s="21"/>
      <c r="D60" s="13">
        <v>4.49</v>
      </c>
      <c r="E60" s="133">
        <v>4.99</v>
      </c>
      <c r="F60" s="131">
        <f t="shared" si="0"/>
        <v>5.1896000000000004</v>
      </c>
      <c r="G60" s="251">
        <f t="shared" si="1"/>
        <v>0.11135857461024501</v>
      </c>
    </row>
    <row r="61" spans="1:7" ht="15.75" customHeight="1" x14ac:dyDescent="0.15">
      <c r="A61" s="390"/>
      <c r="B61" s="401" t="s">
        <v>91</v>
      </c>
      <c r="C61" s="21" t="s">
        <v>721</v>
      </c>
      <c r="D61" s="13">
        <v>3.99</v>
      </c>
      <c r="E61" s="133">
        <v>4.49</v>
      </c>
      <c r="F61" s="131">
        <f t="shared" si="0"/>
        <v>4.6696</v>
      </c>
      <c r="G61" s="251">
        <f t="shared" si="1"/>
        <v>0.12531328320802015</v>
      </c>
    </row>
    <row r="62" spans="1:7" ht="15.75" customHeight="1" x14ac:dyDescent="0.15">
      <c r="A62" s="391"/>
      <c r="B62" s="378"/>
      <c r="C62" s="19" t="s">
        <v>93</v>
      </c>
      <c r="D62" s="92">
        <v>4.49</v>
      </c>
      <c r="E62" s="134">
        <v>4.49</v>
      </c>
      <c r="F62" s="131">
        <f t="shared" si="0"/>
        <v>4.6696</v>
      </c>
      <c r="G62" s="251">
        <f t="shared" si="1"/>
        <v>0</v>
      </c>
    </row>
    <row r="63" spans="1:7" ht="15.75" customHeight="1" x14ac:dyDescent="0.15">
      <c r="A63" s="400" t="s">
        <v>94</v>
      </c>
      <c r="B63" s="33" t="s">
        <v>95</v>
      </c>
      <c r="C63" s="25"/>
      <c r="D63" s="132">
        <v>8.99</v>
      </c>
      <c r="E63" s="131">
        <v>8.99</v>
      </c>
      <c r="F63" s="131">
        <f t="shared" si="0"/>
        <v>9.3496000000000006</v>
      </c>
      <c r="G63" s="251">
        <f t="shared" si="1"/>
        <v>0</v>
      </c>
    </row>
    <row r="64" spans="1:7" ht="15.75" customHeight="1" x14ac:dyDescent="0.15">
      <c r="A64" s="390"/>
      <c r="B64" s="16" t="s">
        <v>96</v>
      </c>
      <c r="C64" s="21"/>
      <c r="D64" s="13">
        <v>7.49</v>
      </c>
      <c r="E64" s="133">
        <v>7.49</v>
      </c>
      <c r="F64" s="131">
        <f t="shared" si="0"/>
        <v>7.7896000000000001</v>
      </c>
      <c r="G64" s="251">
        <f t="shared" si="1"/>
        <v>0</v>
      </c>
    </row>
    <row r="65" spans="1:7" ht="15.75" customHeight="1" x14ac:dyDescent="0.15">
      <c r="A65" s="391"/>
      <c r="B65" s="26" t="s">
        <v>97</v>
      </c>
      <c r="C65" s="27"/>
      <c r="D65" s="92">
        <v>4.99</v>
      </c>
      <c r="E65" s="255">
        <v>5.99</v>
      </c>
      <c r="F65" s="131">
        <f t="shared" si="0"/>
        <v>6.2296000000000005</v>
      </c>
      <c r="G65" s="251">
        <f t="shared" si="1"/>
        <v>0.20040080160320639</v>
      </c>
    </row>
    <row r="66" spans="1:7" ht="15.75" customHeight="1" x14ac:dyDescent="0.15">
      <c r="A66" s="400" t="s">
        <v>98</v>
      </c>
      <c r="B66" s="402" t="s">
        <v>722</v>
      </c>
      <c r="C66" s="7" t="s">
        <v>723</v>
      </c>
      <c r="D66" s="132">
        <v>2.99</v>
      </c>
      <c r="E66" s="131">
        <v>3.49</v>
      </c>
      <c r="F66" s="131">
        <f t="shared" si="0"/>
        <v>3.6296000000000004</v>
      </c>
      <c r="G66" s="251">
        <f t="shared" si="1"/>
        <v>0.16722408026755842</v>
      </c>
    </row>
    <row r="67" spans="1:7" ht="15.75" customHeight="1" x14ac:dyDescent="0.15">
      <c r="A67" s="390"/>
      <c r="B67" s="366"/>
      <c r="C67" s="21" t="s">
        <v>724</v>
      </c>
      <c r="D67" s="13"/>
      <c r="E67" s="133"/>
      <c r="F67" s="131">
        <f t="shared" si="0"/>
        <v>0</v>
      </c>
      <c r="G67" s="251"/>
    </row>
    <row r="68" spans="1:7" ht="15.75" customHeight="1" x14ac:dyDescent="0.15">
      <c r="A68" s="390"/>
      <c r="B68" s="401" t="s">
        <v>725</v>
      </c>
      <c r="C68" s="12" t="s">
        <v>102</v>
      </c>
      <c r="D68" s="13">
        <v>2.99</v>
      </c>
      <c r="E68" s="133">
        <v>3.49</v>
      </c>
      <c r="F68" s="131">
        <f t="shared" si="0"/>
        <v>3.6296000000000004</v>
      </c>
      <c r="G68" s="251">
        <f>+(E68/D68)-1</f>
        <v>0.16722408026755842</v>
      </c>
    </row>
    <row r="69" spans="1:7" ht="15.75" customHeight="1" x14ac:dyDescent="0.15">
      <c r="A69" s="391"/>
      <c r="B69" s="378"/>
      <c r="C69" s="19" t="s">
        <v>103</v>
      </c>
      <c r="D69" s="92"/>
      <c r="E69" s="134"/>
      <c r="F69" s="131">
        <f t="shared" si="0"/>
        <v>0</v>
      </c>
      <c r="G69" s="251"/>
    </row>
    <row r="70" spans="1:7" ht="15.75" customHeight="1" x14ac:dyDescent="0.15">
      <c r="A70" s="400" t="s">
        <v>104</v>
      </c>
      <c r="B70" s="40" t="s">
        <v>105</v>
      </c>
      <c r="C70" s="30" t="s">
        <v>106</v>
      </c>
      <c r="D70" s="138">
        <v>0.99</v>
      </c>
      <c r="E70" s="137">
        <v>0.99</v>
      </c>
      <c r="F70" s="131">
        <f t="shared" si="0"/>
        <v>1.0296000000000001</v>
      </c>
      <c r="G70" s="251">
        <f t="shared" ref="G70:G125" si="2">+(E70/D70)-1</f>
        <v>0</v>
      </c>
    </row>
    <row r="71" spans="1:7" ht="15.75" customHeight="1" x14ac:dyDescent="0.15">
      <c r="A71" s="390"/>
      <c r="B71" s="41" t="s">
        <v>108</v>
      </c>
      <c r="C71" s="25" t="s">
        <v>109</v>
      </c>
      <c r="D71" s="132">
        <v>29.99</v>
      </c>
      <c r="E71" s="131">
        <v>34.99</v>
      </c>
      <c r="F71" s="131">
        <f t="shared" si="0"/>
        <v>36.389600000000002</v>
      </c>
      <c r="G71" s="251">
        <f t="shared" si="2"/>
        <v>0.16672224074691577</v>
      </c>
    </row>
    <row r="72" spans="1:7" ht="15.75" customHeight="1" x14ac:dyDescent="0.15">
      <c r="A72" s="390"/>
      <c r="B72" s="16" t="s">
        <v>110</v>
      </c>
      <c r="C72" s="21" t="s">
        <v>111</v>
      </c>
      <c r="D72" s="13">
        <v>7.49</v>
      </c>
      <c r="E72" s="133">
        <v>8.49</v>
      </c>
      <c r="F72" s="131">
        <f t="shared" si="0"/>
        <v>8.829600000000001</v>
      </c>
      <c r="G72" s="251">
        <f t="shared" si="2"/>
        <v>0.13351134846461954</v>
      </c>
    </row>
    <row r="73" spans="1:7" ht="15.75" customHeight="1" x14ac:dyDescent="0.15">
      <c r="A73" s="390"/>
      <c r="B73" s="16" t="s">
        <v>114</v>
      </c>
      <c r="C73" s="21" t="s">
        <v>115</v>
      </c>
      <c r="D73" s="13">
        <v>4.99</v>
      </c>
      <c r="E73" s="133">
        <v>4.99</v>
      </c>
      <c r="F73" s="131">
        <f t="shared" si="0"/>
        <v>5.1896000000000004</v>
      </c>
      <c r="G73" s="251">
        <f t="shared" si="2"/>
        <v>0</v>
      </c>
    </row>
    <row r="74" spans="1:7" ht="15.75" customHeight="1" x14ac:dyDescent="0.15">
      <c r="A74" s="390"/>
      <c r="B74" s="43" t="s">
        <v>116</v>
      </c>
      <c r="C74" s="139" t="s">
        <v>117</v>
      </c>
      <c r="D74" s="13">
        <v>8.99</v>
      </c>
      <c r="E74" s="133">
        <v>9.49</v>
      </c>
      <c r="F74" s="131">
        <f t="shared" si="0"/>
        <v>9.8696000000000002</v>
      </c>
      <c r="G74" s="251">
        <f t="shared" si="2"/>
        <v>5.5617352614015569E-2</v>
      </c>
    </row>
    <row r="75" spans="1:7" ht="15.75" customHeight="1" x14ac:dyDescent="0.15">
      <c r="A75" s="390"/>
      <c r="B75" s="16" t="s">
        <v>118</v>
      </c>
      <c r="C75" s="21" t="s">
        <v>726</v>
      </c>
      <c r="D75" s="13">
        <v>5.99</v>
      </c>
      <c r="E75" s="133">
        <v>6.59</v>
      </c>
      <c r="F75" s="131">
        <f t="shared" si="0"/>
        <v>6.8536000000000001</v>
      </c>
      <c r="G75" s="251">
        <f t="shared" si="2"/>
        <v>0.10016694490818034</v>
      </c>
    </row>
    <row r="76" spans="1:7" ht="15.75" customHeight="1" x14ac:dyDescent="0.15">
      <c r="A76" s="390"/>
      <c r="B76" s="401" t="s">
        <v>120</v>
      </c>
      <c r="C76" s="21" t="s">
        <v>40</v>
      </c>
      <c r="D76" s="13">
        <v>4.99</v>
      </c>
      <c r="E76" s="252">
        <v>4.99</v>
      </c>
      <c r="F76" s="131">
        <f t="shared" si="0"/>
        <v>5.1896000000000004</v>
      </c>
      <c r="G76" s="251">
        <f t="shared" si="2"/>
        <v>0</v>
      </c>
    </row>
    <row r="77" spans="1:7" ht="15.75" customHeight="1" x14ac:dyDescent="0.15">
      <c r="A77" s="391"/>
      <c r="B77" s="378"/>
      <c r="C77" s="27" t="s">
        <v>121</v>
      </c>
      <c r="D77" s="92">
        <v>25</v>
      </c>
      <c r="E77" s="254">
        <v>25</v>
      </c>
      <c r="F77" s="131">
        <f t="shared" si="0"/>
        <v>26</v>
      </c>
      <c r="G77" s="251">
        <f t="shared" si="2"/>
        <v>0</v>
      </c>
    </row>
    <row r="78" spans="1:7" ht="15.75" customHeight="1" x14ac:dyDescent="0.15">
      <c r="A78" s="393" t="s">
        <v>122</v>
      </c>
      <c r="B78" s="402" t="s">
        <v>123</v>
      </c>
      <c r="C78" s="44" t="s">
        <v>124</v>
      </c>
      <c r="D78" s="141">
        <v>21.99</v>
      </c>
      <c r="E78" s="136">
        <v>21.99</v>
      </c>
      <c r="F78" s="131">
        <f t="shared" si="0"/>
        <v>22.869599999999998</v>
      </c>
      <c r="G78" s="251">
        <f t="shared" si="2"/>
        <v>0</v>
      </c>
    </row>
    <row r="79" spans="1:7" ht="15.75" customHeight="1" x14ac:dyDescent="0.15">
      <c r="A79" s="390"/>
      <c r="B79" s="366"/>
      <c r="C79" s="46" t="s">
        <v>125</v>
      </c>
      <c r="D79" s="70">
        <v>24.99</v>
      </c>
      <c r="E79" s="133">
        <v>24.99</v>
      </c>
      <c r="F79" s="131">
        <f t="shared" si="0"/>
        <v>25.989599999999999</v>
      </c>
      <c r="G79" s="251">
        <f t="shared" si="2"/>
        <v>0</v>
      </c>
    </row>
    <row r="80" spans="1:7" ht="15.75" customHeight="1" x14ac:dyDescent="0.15">
      <c r="A80" s="390"/>
      <c r="B80" s="401" t="s">
        <v>128</v>
      </c>
      <c r="C80" s="46" t="s">
        <v>129</v>
      </c>
      <c r="D80" s="70">
        <v>1.89</v>
      </c>
      <c r="E80" s="133">
        <v>1.89</v>
      </c>
      <c r="F80" s="131">
        <f t="shared" si="0"/>
        <v>1.9655999999999998</v>
      </c>
      <c r="G80" s="251">
        <f t="shared" si="2"/>
        <v>0</v>
      </c>
    </row>
    <row r="81" spans="1:7" ht="15.75" customHeight="1" x14ac:dyDescent="0.15">
      <c r="A81" s="390"/>
      <c r="B81" s="368"/>
      <c r="C81" s="46" t="s">
        <v>130</v>
      </c>
      <c r="D81" s="70">
        <v>2.39</v>
      </c>
      <c r="E81" s="133">
        <v>2.39</v>
      </c>
      <c r="F81" s="131">
        <f t="shared" si="0"/>
        <v>2.4856000000000003</v>
      </c>
      <c r="G81" s="251">
        <f t="shared" si="2"/>
        <v>0</v>
      </c>
    </row>
    <row r="82" spans="1:7" ht="15.75" customHeight="1" x14ac:dyDescent="0.15">
      <c r="A82" s="390"/>
      <c r="B82" s="366"/>
      <c r="C82" s="46" t="s">
        <v>131</v>
      </c>
      <c r="D82" s="70">
        <v>3.25</v>
      </c>
      <c r="E82" s="133">
        <v>3.25</v>
      </c>
      <c r="F82" s="131">
        <f t="shared" si="0"/>
        <v>3.38</v>
      </c>
      <c r="G82" s="251">
        <f t="shared" si="2"/>
        <v>0</v>
      </c>
    </row>
    <row r="83" spans="1:7" ht="15.75" customHeight="1" x14ac:dyDescent="0.15">
      <c r="A83" s="390"/>
      <c r="B83" s="401" t="s">
        <v>125</v>
      </c>
      <c r="C83" s="46" t="s">
        <v>129</v>
      </c>
      <c r="D83" s="70">
        <v>2.59</v>
      </c>
      <c r="E83" s="133">
        <v>2.85</v>
      </c>
      <c r="F83" s="131">
        <f t="shared" si="0"/>
        <v>2.964</v>
      </c>
      <c r="G83" s="251">
        <f t="shared" si="2"/>
        <v>0.10038610038610041</v>
      </c>
    </row>
    <row r="84" spans="1:7" ht="15.75" customHeight="1" x14ac:dyDescent="0.15">
      <c r="A84" s="390"/>
      <c r="B84" s="368"/>
      <c r="C84" s="46" t="s">
        <v>130</v>
      </c>
      <c r="D84" s="70">
        <v>3.49</v>
      </c>
      <c r="E84" s="133">
        <v>3.79</v>
      </c>
      <c r="F84" s="131">
        <f t="shared" si="0"/>
        <v>3.9416000000000002</v>
      </c>
      <c r="G84" s="251">
        <f t="shared" si="2"/>
        <v>8.5959885386819535E-2</v>
      </c>
    </row>
    <row r="85" spans="1:7" ht="15.75" customHeight="1" x14ac:dyDescent="0.15">
      <c r="A85" s="390"/>
      <c r="B85" s="366"/>
      <c r="C85" s="46" t="s">
        <v>131</v>
      </c>
      <c r="D85" s="70">
        <v>4.99</v>
      </c>
      <c r="E85" s="133">
        <v>4.99</v>
      </c>
      <c r="F85" s="131">
        <f t="shared" si="0"/>
        <v>5.1896000000000004</v>
      </c>
      <c r="G85" s="251">
        <f t="shared" si="2"/>
        <v>0</v>
      </c>
    </row>
    <row r="86" spans="1:7" ht="15.75" customHeight="1" x14ac:dyDescent="0.15">
      <c r="A86" s="390"/>
      <c r="B86" s="401" t="s">
        <v>132</v>
      </c>
      <c r="C86" s="46" t="s">
        <v>129</v>
      </c>
      <c r="D86" s="70">
        <v>2.79</v>
      </c>
      <c r="E86" s="133">
        <v>2.99</v>
      </c>
      <c r="F86" s="131">
        <f t="shared" si="0"/>
        <v>3.1096000000000004</v>
      </c>
      <c r="G86" s="251">
        <f t="shared" si="2"/>
        <v>7.1684587813620082E-2</v>
      </c>
    </row>
    <row r="87" spans="1:7" ht="15.75" customHeight="1" x14ac:dyDescent="0.15">
      <c r="A87" s="390"/>
      <c r="B87" s="368"/>
      <c r="C87" s="46" t="s">
        <v>130</v>
      </c>
      <c r="D87" s="70">
        <v>3.99</v>
      </c>
      <c r="E87" s="133">
        <v>3.99</v>
      </c>
      <c r="F87" s="131">
        <f t="shared" si="0"/>
        <v>4.1496000000000004</v>
      </c>
      <c r="G87" s="251">
        <f t="shared" si="2"/>
        <v>0</v>
      </c>
    </row>
    <row r="88" spans="1:7" ht="15.75" customHeight="1" x14ac:dyDescent="0.15">
      <c r="A88" s="390"/>
      <c r="B88" s="366"/>
      <c r="C88" s="46" t="s">
        <v>131</v>
      </c>
      <c r="D88" s="70">
        <v>4.99</v>
      </c>
      <c r="E88" s="133">
        <v>4.99</v>
      </c>
      <c r="F88" s="131">
        <f t="shared" si="0"/>
        <v>5.1896000000000004</v>
      </c>
      <c r="G88" s="251">
        <f t="shared" si="2"/>
        <v>0</v>
      </c>
    </row>
    <row r="89" spans="1:7" ht="15.75" customHeight="1" x14ac:dyDescent="0.15">
      <c r="A89" s="390"/>
      <c r="B89" s="401" t="s">
        <v>133</v>
      </c>
      <c r="C89" s="46" t="s">
        <v>130</v>
      </c>
      <c r="D89" s="70">
        <v>3.99</v>
      </c>
      <c r="E89" s="133">
        <v>3.99</v>
      </c>
      <c r="F89" s="131">
        <f t="shared" si="0"/>
        <v>4.1496000000000004</v>
      </c>
      <c r="G89" s="251">
        <f t="shared" si="2"/>
        <v>0</v>
      </c>
    </row>
    <row r="90" spans="1:7" ht="15.75" customHeight="1" x14ac:dyDescent="0.15">
      <c r="A90" s="390"/>
      <c r="B90" s="366"/>
      <c r="C90" s="46" t="s">
        <v>131</v>
      </c>
      <c r="D90" s="70">
        <v>4.99</v>
      </c>
      <c r="E90" s="133">
        <v>4.99</v>
      </c>
      <c r="F90" s="131">
        <f t="shared" si="0"/>
        <v>5.1896000000000004</v>
      </c>
      <c r="G90" s="251">
        <f t="shared" si="2"/>
        <v>0</v>
      </c>
    </row>
    <row r="91" spans="1:7" ht="15.75" customHeight="1" x14ac:dyDescent="0.15">
      <c r="A91" s="390"/>
      <c r="B91" s="401" t="s">
        <v>134</v>
      </c>
      <c r="C91" s="46" t="s">
        <v>135</v>
      </c>
      <c r="D91" s="70">
        <v>2.25</v>
      </c>
      <c r="E91" s="133">
        <v>2.4900000000000002</v>
      </c>
      <c r="F91" s="131">
        <f t="shared" si="0"/>
        <v>2.5896000000000003</v>
      </c>
      <c r="G91" s="251">
        <f t="shared" si="2"/>
        <v>0.10666666666666669</v>
      </c>
    </row>
    <row r="92" spans="1:7" ht="15.75" customHeight="1" x14ac:dyDescent="0.15">
      <c r="A92" s="390"/>
      <c r="B92" s="366"/>
      <c r="C92" s="46" t="s">
        <v>136</v>
      </c>
      <c r="D92" s="70">
        <v>2.4900000000000002</v>
      </c>
      <c r="E92" s="133">
        <v>2.69</v>
      </c>
      <c r="F92" s="131">
        <f t="shared" si="0"/>
        <v>2.7976000000000001</v>
      </c>
      <c r="G92" s="251">
        <f t="shared" si="2"/>
        <v>8.0321285140562138E-2</v>
      </c>
    </row>
    <row r="93" spans="1:7" ht="15.75" customHeight="1" x14ac:dyDescent="0.15">
      <c r="A93" s="390"/>
      <c r="B93" s="16" t="s">
        <v>137</v>
      </c>
      <c r="C93" s="42" t="s">
        <v>138</v>
      </c>
      <c r="D93" s="70">
        <v>0.37</v>
      </c>
      <c r="E93" s="133">
        <v>0.37</v>
      </c>
      <c r="F93" s="131">
        <f t="shared" si="0"/>
        <v>0.38479999999999998</v>
      </c>
      <c r="G93" s="251">
        <f t="shared" si="2"/>
        <v>0</v>
      </c>
    </row>
    <row r="94" spans="1:7" ht="15.75" customHeight="1" x14ac:dyDescent="0.15">
      <c r="A94" s="390"/>
      <c r="B94" s="401" t="s">
        <v>139</v>
      </c>
      <c r="C94" s="42" t="s">
        <v>140</v>
      </c>
      <c r="D94" s="70">
        <v>1.39</v>
      </c>
      <c r="E94" s="133">
        <v>1.59</v>
      </c>
      <c r="F94" s="131">
        <f t="shared" si="0"/>
        <v>1.6536000000000002</v>
      </c>
      <c r="G94" s="251">
        <f t="shared" si="2"/>
        <v>0.14388489208633115</v>
      </c>
    </row>
    <row r="95" spans="1:7" ht="15.75" customHeight="1" x14ac:dyDescent="0.15">
      <c r="A95" s="390"/>
      <c r="B95" s="366"/>
      <c r="C95" s="42" t="s">
        <v>135</v>
      </c>
      <c r="D95" s="70">
        <v>1.89</v>
      </c>
      <c r="E95" s="133">
        <v>2.25</v>
      </c>
      <c r="F95" s="131">
        <f t="shared" si="0"/>
        <v>2.34</v>
      </c>
      <c r="G95" s="251">
        <f t="shared" si="2"/>
        <v>0.19047619047619047</v>
      </c>
    </row>
    <row r="96" spans="1:7" ht="15.75" customHeight="1" x14ac:dyDescent="0.15">
      <c r="A96" s="390"/>
      <c r="B96" s="365" t="s">
        <v>141</v>
      </c>
      <c r="C96" s="42" t="s">
        <v>140</v>
      </c>
      <c r="D96" s="70">
        <v>1.49</v>
      </c>
      <c r="E96" s="133">
        <v>1.69</v>
      </c>
      <c r="F96" s="131">
        <f t="shared" si="0"/>
        <v>1.7576000000000001</v>
      </c>
      <c r="G96" s="251">
        <f t="shared" si="2"/>
        <v>0.13422818791946312</v>
      </c>
    </row>
    <row r="97" spans="1:8" ht="15.75" customHeight="1" x14ac:dyDescent="0.15">
      <c r="A97" s="390"/>
      <c r="B97" s="366"/>
      <c r="C97" s="42" t="s">
        <v>135</v>
      </c>
      <c r="D97" s="70">
        <v>1.99</v>
      </c>
      <c r="E97" s="133">
        <v>2.39</v>
      </c>
      <c r="F97" s="131">
        <f t="shared" si="0"/>
        <v>2.4856000000000003</v>
      </c>
      <c r="G97" s="251">
        <f t="shared" si="2"/>
        <v>0.20100502512562812</v>
      </c>
    </row>
    <row r="98" spans="1:8" ht="15.75" customHeight="1" x14ac:dyDescent="0.15">
      <c r="A98" s="390"/>
      <c r="B98" s="365" t="s">
        <v>142</v>
      </c>
      <c r="C98" s="46" t="s">
        <v>129</v>
      </c>
      <c r="D98" s="70">
        <v>3.69</v>
      </c>
      <c r="E98" s="253">
        <v>3.79</v>
      </c>
      <c r="F98" s="131">
        <f t="shared" si="0"/>
        <v>3.9416000000000002</v>
      </c>
      <c r="G98" s="251">
        <f t="shared" si="2"/>
        <v>2.7100271002709952E-2</v>
      </c>
    </row>
    <row r="99" spans="1:8" ht="15.75" customHeight="1" x14ac:dyDescent="0.15">
      <c r="A99" s="390"/>
      <c r="B99" s="368"/>
      <c r="C99" s="46" t="s">
        <v>130</v>
      </c>
      <c r="D99" s="70">
        <v>4.49</v>
      </c>
      <c r="E99" s="253">
        <v>4.59</v>
      </c>
      <c r="F99" s="131">
        <f t="shared" si="0"/>
        <v>4.7736000000000001</v>
      </c>
      <c r="G99" s="251">
        <f t="shared" si="2"/>
        <v>2.2271714922048824E-2</v>
      </c>
    </row>
    <row r="100" spans="1:8" ht="15.75" customHeight="1" x14ac:dyDescent="0.15">
      <c r="A100" s="390"/>
      <c r="B100" s="366"/>
      <c r="C100" s="46" t="s">
        <v>131</v>
      </c>
      <c r="D100" s="70">
        <v>4.99</v>
      </c>
      <c r="E100" s="133">
        <v>4.99</v>
      </c>
      <c r="F100" s="131">
        <f t="shared" si="0"/>
        <v>5.1896000000000004</v>
      </c>
      <c r="G100" s="251">
        <f t="shared" si="2"/>
        <v>0</v>
      </c>
    </row>
    <row r="101" spans="1:8" ht="15.75" customHeight="1" x14ac:dyDescent="0.15">
      <c r="A101" s="390"/>
      <c r="B101" s="256" t="s">
        <v>143</v>
      </c>
      <c r="C101" s="59"/>
      <c r="D101" s="144">
        <v>2.99</v>
      </c>
      <c r="E101" s="134">
        <v>2.99</v>
      </c>
      <c r="F101" s="131">
        <f t="shared" si="0"/>
        <v>3.1096000000000004</v>
      </c>
      <c r="G101" s="257">
        <f t="shared" si="2"/>
        <v>0</v>
      </c>
    </row>
    <row r="102" spans="1:8" ht="15.75" customHeight="1" x14ac:dyDescent="0.15">
      <c r="A102" s="390"/>
      <c r="B102" s="365" t="s">
        <v>144</v>
      </c>
      <c r="C102" s="104" t="s">
        <v>130</v>
      </c>
      <c r="D102" s="146">
        <v>2.59</v>
      </c>
      <c r="E102" s="146">
        <v>2.59</v>
      </c>
      <c r="F102" s="131">
        <f t="shared" si="0"/>
        <v>2.6936</v>
      </c>
      <c r="G102" s="257">
        <f t="shared" si="2"/>
        <v>0</v>
      </c>
      <c r="H102" s="258"/>
    </row>
    <row r="103" spans="1:8" ht="15.75" customHeight="1" x14ac:dyDescent="0.15">
      <c r="A103" s="390"/>
      <c r="B103" s="366"/>
      <c r="C103" s="104" t="s">
        <v>131</v>
      </c>
      <c r="D103" s="146">
        <v>3.49</v>
      </c>
      <c r="E103" s="146">
        <v>3.49</v>
      </c>
      <c r="F103" s="131">
        <f t="shared" si="0"/>
        <v>3.6296000000000004</v>
      </c>
      <c r="G103" s="257">
        <f t="shared" si="2"/>
        <v>0</v>
      </c>
      <c r="H103" s="258"/>
    </row>
    <row r="104" spans="1:8" ht="15.75" customHeight="1" x14ac:dyDescent="0.15">
      <c r="A104" s="390"/>
      <c r="B104" s="365" t="s">
        <v>913</v>
      </c>
      <c r="C104" s="104" t="s">
        <v>130</v>
      </c>
      <c r="D104" s="145">
        <v>4.49</v>
      </c>
      <c r="E104" s="145">
        <v>4.49</v>
      </c>
      <c r="F104" s="131">
        <f t="shared" si="0"/>
        <v>4.6696</v>
      </c>
      <c r="G104" s="257">
        <f t="shared" si="2"/>
        <v>0</v>
      </c>
      <c r="H104" s="258"/>
    </row>
    <row r="105" spans="1:8" ht="15.75" customHeight="1" x14ac:dyDescent="0.15">
      <c r="A105" s="390"/>
      <c r="B105" s="366"/>
      <c r="C105" s="104" t="s">
        <v>131</v>
      </c>
      <c r="D105" s="145">
        <v>5.29</v>
      </c>
      <c r="E105" s="145">
        <v>5.29</v>
      </c>
      <c r="F105" s="131">
        <f t="shared" si="0"/>
        <v>5.5015999999999998</v>
      </c>
      <c r="G105" s="257">
        <f t="shared" si="2"/>
        <v>0</v>
      </c>
      <c r="H105" s="258"/>
    </row>
    <row r="106" spans="1:8" ht="15.75" customHeight="1" x14ac:dyDescent="0.15">
      <c r="A106" s="390"/>
      <c r="B106" s="42" t="s">
        <v>148</v>
      </c>
      <c r="C106" s="147" t="s">
        <v>149</v>
      </c>
      <c r="D106" s="145">
        <v>6.75</v>
      </c>
      <c r="E106" s="145">
        <v>6.75</v>
      </c>
      <c r="F106" s="131">
        <f t="shared" si="0"/>
        <v>7.02</v>
      </c>
      <c r="G106" s="257">
        <f t="shared" si="2"/>
        <v>0</v>
      </c>
      <c r="H106" s="258"/>
    </row>
    <row r="107" spans="1:8" ht="15.75" customHeight="1" x14ac:dyDescent="0.15">
      <c r="A107" s="390"/>
      <c r="B107" s="42" t="s">
        <v>150</v>
      </c>
      <c r="C107" s="147" t="s">
        <v>151</v>
      </c>
      <c r="D107" s="145">
        <v>6.75</v>
      </c>
      <c r="E107" s="145">
        <v>6.75</v>
      </c>
      <c r="F107" s="131">
        <f t="shared" si="0"/>
        <v>7.02</v>
      </c>
      <c r="G107" s="257">
        <f t="shared" si="2"/>
        <v>0</v>
      </c>
      <c r="H107" s="258"/>
    </row>
    <row r="108" spans="1:8" ht="15.75" customHeight="1" x14ac:dyDescent="0.15">
      <c r="A108" s="391"/>
      <c r="B108" s="42" t="s">
        <v>152</v>
      </c>
      <c r="C108" s="147" t="s">
        <v>149</v>
      </c>
      <c r="D108" s="145">
        <v>6.75</v>
      </c>
      <c r="E108" s="145">
        <v>6.75</v>
      </c>
      <c r="F108" s="131">
        <f t="shared" si="0"/>
        <v>7.02</v>
      </c>
      <c r="G108" s="257">
        <f t="shared" si="2"/>
        <v>0</v>
      </c>
      <c r="H108" s="258"/>
    </row>
    <row r="109" spans="1:8" ht="13.5" customHeight="1" x14ac:dyDescent="0.15">
      <c r="A109" s="424" t="s">
        <v>156</v>
      </c>
      <c r="B109" s="52" t="s">
        <v>157</v>
      </c>
      <c r="C109" s="25" t="s">
        <v>158</v>
      </c>
      <c r="D109" s="132">
        <v>8.99</v>
      </c>
      <c r="E109" s="131">
        <v>9.49</v>
      </c>
      <c r="F109" s="131">
        <f t="shared" si="0"/>
        <v>9.8696000000000002</v>
      </c>
      <c r="G109" s="257">
        <f t="shared" si="2"/>
        <v>5.5617352614015569E-2</v>
      </c>
    </row>
    <row r="110" spans="1:8" ht="15.75" customHeight="1" x14ac:dyDescent="0.15">
      <c r="A110" s="390"/>
      <c r="B110" s="16" t="s">
        <v>159</v>
      </c>
      <c r="C110" s="21" t="s">
        <v>158</v>
      </c>
      <c r="D110" s="13">
        <v>7.99</v>
      </c>
      <c r="E110" s="133">
        <v>8.49</v>
      </c>
      <c r="F110" s="131">
        <f t="shared" si="0"/>
        <v>8.829600000000001</v>
      </c>
      <c r="G110" s="257">
        <f t="shared" si="2"/>
        <v>6.2578222778473025E-2</v>
      </c>
    </row>
    <row r="111" spans="1:8" ht="15.75" customHeight="1" x14ac:dyDescent="0.15">
      <c r="A111" s="390"/>
      <c r="B111" s="16" t="s">
        <v>160</v>
      </c>
      <c r="C111" s="21" t="s">
        <v>161</v>
      </c>
      <c r="D111" s="13">
        <v>9.49</v>
      </c>
      <c r="E111" s="133">
        <v>10.49</v>
      </c>
      <c r="F111" s="131">
        <f t="shared" si="0"/>
        <v>10.909600000000001</v>
      </c>
      <c r="G111" s="251">
        <f t="shared" si="2"/>
        <v>0.10537407797681775</v>
      </c>
    </row>
    <row r="112" spans="1:8" ht="15.75" customHeight="1" x14ac:dyDescent="0.15">
      <c r="A112" s="390"/>
      <c r="B112" s="16" t="s">
        <v>162</v>
      </c>
      <c r="C112" s="21" t="s">
        <v>163</v>
      </c>
      <c r="D112" s="13">
        <v>7.49</v>
      </c>
      <c r="E112" s="133">
        <v>7.99</v>
      </c>
      <c r="F112" s="131">
        <f t="shared" si="0"/>
        <v>8.3095999999999997</v>
      </c>
      <c r="G112" s="251">
        <f t="shared" si="2"/>
        <v>6.6755674232309659E-2</v>
      </c>
    </row>
    <row r="113" spans="1:7" ht="15.75" customHeight="1" x14ac:dyDescent="0.15">
      <c r="A113" s="390"/>
      <c r="B113" s="401" t="s">
        <v>164</v>
      </c>
      <c r="C113" s="21" t="s">
        <v>165</v>
      </c>
      <c r="D113" s="13">
        <v>9.99</v>
      </c>
      <c r="E113" s="133">
        <v>10.49</v>
      </c>
      <c r="F113" s="131">
        <f t="shared" si="0"/>
        <v>10.909600000000001</v>
      </c>
      <c r="G113" s="251">
        <f t="shared" si="2"/>
        <v>5.0050050050050032E-2</v>
      </c>
    </row>
    <row r="114" spans="1:7" ht="15.75" customHeight="1" x14ac:dyDescent="0.15">
      <c r="A114" s="390"/>
      <c r="B114" s="368"/>
      <c r="C114" s="21" t="s">
        <v>166</v>
      </c>
      <c r="D114" s="13">
        <v>10.49</v>
      </c>
      <c r="E114" s="133">
        <v>10.99</v>
      </c>
      <c r="F114" s="131">
        <f t="shared" si="0"/>
        <v>11.429600000000001</v>
      </c>
      <c r="G114" s="251">
        <f t="shared" si="2"/>
        <v>4.7664442326024847E-2</v>
      </c>
    </row>
    <row r="115" spans="1:7" ht="15.75" customHeight="1" x14ac:dyDescent="0.15">
      <c r="A115" s="390"/>
      <c r="B115" s="366"/>
      <c r="C115" s="21" t="s">
        <v>167</v>
      </c>
      <c r="D115" s="13">
        <v>10.49</v>
      </c>
      <c r="E115" s="133">
        <v>11.49</v>
      </c>
      <c r="F115" s="131">
        <f t="shared" si="0"/>
        <v>11.9496</v>
      </c>
      <c r="G115" s="251">
        <f t="shared" si="2"/>
        <v>9.5328884652049473E-2</v>
      </c>
    </row>
    <row r="116" spans="1:7" ht="15.75" customHeight="1" x14ac:dyDescent="0.15">
      <c r="A116" s="390"/>
      <c r="B116" s="53" t="s">
        <v>168</v>
      </c>
      <c r="C116" s="12" t="s">
        <v>169</v>
      </c>
      <c r="D116" s="13">
        <v>7.99</v>
      </c>
      <c r="E116" s="133">
        <v>8.49</v>
      </c>
      <c r="F116" s="131">
        <f t="shared" si="0"/>
        <v>8.829600000000001</v>
      </c>
      <c r="G116" s="251">
        <f t="shared" si="2"/>
        <v>6.2578222778473025E-2</v>
      </c>
    </row>
    <row r="117" spans="1:7" ht="15.75" customHeight="1" x14ac:dyDescent="0.15">
      <c r="A117" s="390"/>
      <c r="B117" s="53" t="s">
        <v>170</v>
      </c>
      <c r="C117" s="12" t="s">
        <v>171</v>
      </c>
      <c r="D117" s="13">
        <v>9.99</v>
      </c>
      <c r="E117" s="133">
        <v>10.49</v>
      </c>
      <c r="F117" s="131">
        <f t="shared" si="0"/>
        <v>10.909600000000001</v>
      </c>
      <c r="G117" s="251">
        <f t="shared" si="2"/>
        <v>5.0050050050050032E-2</v>
      </c>
    </row>
    <row r="118" spans="1:7" ht="15.75" customHeight="1" x14ac:dyDescent="0.15">
      <c r="A118" s="390"/>
      <c r="B118" s="53" t="s">
        <v>172</v>
      </c>
      <c r="C118" s="12" t="s">
        <v>173</v>
      </c>
      <c r="D118" s="13">
        <v>8.99</v>
      </c>
      <c r="E118" s="133">
        <v>9.49</v>
      </c>
      <c r="F118" s="131">
        <f t="shared" si="0"/>
        <v>9.8696000000000002</v>
      </c>
      <c r="G118" s="251">
        <f t="shared" si="2"/>
        <v>5.5617352614015569E-2</v>
      </c>
    </row>
    <row r="119" spans="1:7" ht="15.75" customHeight="1" x14ac:dyDescent="0.15">
      <c r="A119" s="390"/>
      <c r="B119" s="16" t="s">
        <v>174</v>
      </c>
      <c r="C119" s="12" t="s">
        <v>175</v>
      </c>
      <c r="D119" s="13">
        <v>8.99</v>
      </c>
      <c r="E119" s="133">
        <v>8.99</v>
      </c>
      <c r="F119" s="131">
        <f t="shared" si="0"/>
        <v>9.3496000000000006</v>
      </c>
      <c r="G119" s="251">
        <f t="shared" si="2"/>
        <v>0</v>
      </c>
    </row>
    <row r="120" spans="1:7" ht="15.75" customHeight="1" x14ac:dyDescent="0.15">
      <c r="A120" s="390"/>
      <c r="B120" s="53" t="s">
        <v>178</v>
      </c>
      <c r="C120" s="21" t="s">
        <v>179</v>
      </c>
      <c r="D120" s="13">
        <v>8.99</v>
      </c>
      <c r="E120" s="133">
        <v>8.99</v>
      </c>
      <c r="F120" s="131">
        <f t="shared" si="0"/>
        <v>9.3496000000000006</v>
      </c>
      <c r="G120" s="251">
        <f t="shared" si="2"/>
        <v>0</v>
      </c>
    </row>
    <row r="121" spans="1:7" ht="15.75" customHeight="1" x14ac:dyDescent="0.15">
      <c r="A121" s="390"/>
      <c r="B121" s="53" t="s">
        <v>180</v>
      </c>
      <c r="C121" s="21" t="s">
        <v>727</v>
      </c>
      <c r="D121" s="13">
        <v>8.49</v>
      </c>
      <c r="E121" s="133">
        <v>8.99</v>
      </c>
      <c r="F121" s="131">
        <f t="shared" si="0"/>
        <v>9.3496000000000006</v>
      </c>
      <c r="G121" s="251">
        <f t="shared" si="2"/>
        <v>5.8892815076560634E-2</v>
      </c>
    </row>
    <row r="122" spans="1:7" ht="15.75" customHeight="1" x14ac:dyDescent="0.15">
      <c r="A122" s="390"/>
      <c r="B122" s="53" t="s">
        <v>182</v>
      </c>
      <c r="C122" s="21" t="s">
        <v>183</v>
      </c>
      <c r="D122" s="13">
        <v>6.99</v>
      </c>
      <c r="E122" s="133">
        <v>7.99</v>
      </c>
      <c r="F122" s="131">
        <f t="shared" si="0"/>
        <v>8.3095999999999997</v>
      </c>
      <c r="G122" s="251">
        <f t="shared" si="2"/>
        <v>0.14306151645207432</v>
      </c>
    </row>
    <row r="123" spans="1:7" ht="15.75" customHeight="1" x14ac:dyDescent="0.15">
      <c r="A123" s="390"/>
      <c r="B123" s="16" t="s">
        <v>184</v>
      </c>
      <c r="C123" s="21" t="s">
        <v>728</v>
      </c>
      <c r="D123" s="13">
        <v>4.99</v>
      </c>
      <c r="E123" s="133">
        <v>4.99</v>
      </c>
      <c r="F123" s="131">
        <f t="shared" si="0"/>
        <v>5.1896000000000004</v>
      </c>
      <c r="G123" s="251">
        <f t="shared" si="2"/>
        <v>0</v>
      </c>
    </row>
    <row r="124" spans="1:7" ht="15.75" customHeight="1" x14ac:dyDescent="0.15">
      <c r="A124" s="390"/>
      <c r="B124" s="53" t="s">
        <v>186</v>
      </c>
      <c r="C124" s="12" t="s">
        <v>187</v>
      </c>
      <c r="D124" s="13">
        <v>4.99</v>
      </c>
      <c r="E124" s="133">
        <v>4.99</v>
      </c>
      <c r="F124" s="131">
        <f t="shared" si="0"/>
        <v>5.1896000000000004</v>
      </c>
      <c r="G124" s="251">
        <f t="shared" si="2"/>
        <v>0</v>
      </c>
    </row>
    <row r="125" spans="1:7" ht="15.75" customHeight="1" x14ac:dyDescent="0.15">
      <c r="A125" s="390"/>
      <c r="B125" s="53" t="s">
        <v>188</v>
      </c>
      <c r="C125" s="12" t="s">
        <v>729</v>
      </c>
      <c r="D125" s="13">
        <v>10.99</v>
      </c>
      <c r="E125" s="133">
        <v>10.99</v>
      </c>
      <c r="F125" s="131">
        <f t="shared" si="0"/>
        <v>11.429600000000001</v>
      </c>
      <c r="G125" s="251">
        <f t="shared" si="2"/>
        <v>0</v>
      </c>
    </row>
    <row r="126" spans="1:7" ht="15.75" customHeight="1" x14ac:dyDescent="0.15">
      <c r="A126" s="390"/>
      <c r="B126" s="54" t="s">
        <v>190</v>
      </c>
      <c r="C126" s="55" t="s">
        <v>191</v>
      </c>
      <c r="D126" s="35">
        <v>8.99</v>
      </c>
      <c r="E126" s="148"/>
      <c r="F126" s="131">
        <f t="shared" si="0"/>
        <v>0</v>
      </c>
      <c r="G126" s="251"/>
    </row>
    <row r="127" spans="1:7" ht="15.75" customHeight="1" x14ac:dyDescent="0.15">
      <c r="A127" s="390"/>
      <c r="B127" s="53" t="s">
        <v>192</v>
      </c>
      <c r="C127" s="12" t="s">
        <v>193</v>
      </c>
      <c r="D127" s="13">
        <v>8.99</v>
      </c>
      <c r="E127" s="133">
        <v>9.99</v>
      </c>
      <c r="F127" s="131">
        <f t="shared" si="0"/>
        <v>10.3896</v>
      </c>
      <c r="G127" s="251">
        <f t="shared" ref="G127:G141" si="3">+(E127/D127)-1</f>
        <v>0.11123470522803114</v>
      </c>
    </row>
    <row r="128" spans="1:7" ht="15.75" customHeight="1" x14ac:dyDescent="0.15">
      <c r="A128" s="390"/>
      <c r="B128" s="53" t="s">
        <v>194</v>
      </c>
      <c r="C128" s="12" t="s">
        <v>158</v>
      </c>
      <c r="D128" s="13">
        <v>6.49</v>
      </c>
      <c r="E128" s="133">
        <v>6.99</v>
      </c>
      <c r="F128" s="131">
        <f t="shared" si="0"/>
        <v>7.2696000000000005</v>
      </c>
      <c r="G128" s="251">
        <f t="shared" si="3"/>
        <v>7.7041602465331316E-2</v>
      </c>
    </row>
    <row r="129" spans="1:7" ht="15.75" customHeight="1" x14ac:dyDescent="0.15">
      <c r="A129" s="390"/>
      <c r="B129" s="56" t="s">
        <v>195</v>
      </c>
      <c r="C129" s="20" t="s">
        <v>196</v>
      </c>
      <c r="D129" s="86">
        <v>4.49</v>
      </c>
      <c r="E129" s="135">
        <v>4.99</v>
      </c>
      <c r="F129" s="131">
        <f t="shared" si="0"/>
        <v>5.1896000000000004</v>
      </c>
      <c r="G129" s="251">
        <f t="shared" si="3"/>
        <v>0.11135857461024501</v>
      </c>
    </row>
    <row r="130" spans="1:7" ht="15.75" customHeight="1" x14ac:dyDescent="0.15">
      <c r="A130" s="390"/>
      <c r="B130" s="56" t="s">
        <v>197</v>
      </c>
      <c r="C130" s="259"/>
      <c r="D130" s="86">
        <v>8.5</v>
      </c>
      <c r="E130" s="135">
        <v>8.99</v>
      </c>
      <c r="F130" s="131">
        <f t="shared" si="0"/>
        <v>9.3496000000000006</v>
      </c>
      <c r="G130" s="251">
        <f t="shared" si="3"/>
        <v>5.7647058823529385E-2</v>
      </c>
    </row>
    <row r="131" spans="1:7" ht="15.75" customHeight="1" x14ac:dyDescent="0.15">
      <c r="A131" s="390"/>
      <c r="B131" s="57" t="s">
        <v>198</v>
      </c>
      <c r="C131" s="12"/>
      <c r="D131" s="13">
        <v>9.86</v>
      </c>
      <c r="E131" s="260">
        <v>10.79</v>
      </c>
      <c r="F131" s="131">
        <f t="shared" si="0"/>
        <v>11.221599999999999</v>
      </c>
      <c r="G131" s="251">
        <f t="shared" si="3"/>
        <v>9.4320486815415716E-2</v>
      </c>
    </row>
    <row r="132" spans="1:7" ht="15.75" customHeight="1" x14ac:dyDescent="0.15">
      <c r="A132" s="390"/>
      <c r="B132" s="58" t="s">
        <v>199</v>
      </c>
      <c r="C132" s="59"/>
      <c r="D132" s="92">
        <v>13.99</v>
      </c>
      <c r="E132" s="93">
        <v>14.99</v>
      </c>
      <c r="F132" s="131">
        <f t="shared" si="0"/>
        <v>15.589600000000001</v>
      </c>
      <c r="G132" s="251">
        <f t="shared" si="3"/>
        <v>7.1479628305932907E-2</v>
      </c>
    </row>
    <row r="133" spans="1:7" ht="15.75" customHeight="1" x14ac:dyDescent="0.15">
      <c r="A133" s="400" t="s">
        <v>200</v>
      </c>
      <c r="B133" s="41" t="s">
        <v>201</v>
      </c>
      <c r="C133" s="61" t="s">
        <v>202</v>
      </c>
      <c r="D133" s="141">
        <v>12.99</v>
      </c>
      <c r="E133" s="131">
        <v>13.99</v>
      </c>
      <c r="F133" s="131">
        <f t="shared" si="0"/>
        <v>14.5496</v>
      </c>
      <c r="G133" s="251">
        <f t="shared" si="3"/>
        <v>7.6982294072363455E-2</v>
      </c>
    </row>
    <row r="134" spans="1:7" ht="15.75" customHeight="1" x14ac:dyDescent="0.15">
      <c r="A134" s="390"/>
      <c r="B134" s="16" t="s">
        <v>203</v>
      </c>
      <c r="C134" s="46" t="s">
        <v>204</v>
      </c>
      <c r="D134" s="70">
        <v>10.99</v>
      </c>
      <c r="E134" s="133">
        <v>11.49</v>
      </c>
      <c r="F134" s="131">
        <f t="shared" si="0"/>
        <v>11.9496</v>
      </c>
      <c r="G134" s="251">
        <f t="shared" si="3"/>
        <v>4.5495905368516887E-2</v>
      </c>
    </row>
    <row r="135" spans="1:7" ht="15.75" customHeight="1" x14ac:dyDescent="0.15">
      <c r="A135" s="390"/>
      <c r="B135" s="43" t="s">
        <v>205</v>
      </c>
      <c r="C135" s="46" t="s">
        <v>206</v>
      </c>
      <c r="D135" s="70">
        <v>10.99</v>
      </c>
      <c r="E135" s="133">
        <v>11.49</v>
      </c>
      <c r="F135" s="131">
        <f t="shared" si="0"/>
        <v>11.9496</v>
      </c>
      <c r="G135" s="251">
        <f t="shared" si="3"/>
        <v>4.5495905368516887E-2</v>
      </c>
    </row>
    <row r="136" spans="1:7" ht="15.75" customHeight="1" x14ac:dyDescent="0.15">
      <c r="A136" s="390"/>
      <c r="B136" s="43" t="s">
        <v>207</v>
      </c>
      <c r="C136" s="42" t="s">
        <v>208</v>
      </c>
      <c r="D136" s="70">
        <v>10.99</v>
      </c>
      <c r="E136" s="133">
        <v>11.49</v>
      </c>
      <c r="F136" s="131">
        <f t="shared" si="0"/>
        <v>11.9496</v>
      </c>
      <c r="G136" s="251">
        <f t="shared" si="3"/>
        <v>4.5495905368516887E-2</v>
      </c>
    </row>
    <row r="137" spans="1:7" ht="15.75" customHeight="1" x14ac:dyDescent="0.15">
      <c r="A137" s="390"/>
      <c r="B137" s="43" t="s">
        <v>209</v>
      </c>
      <c r="C137" s="42" t="s">
        <v>730</v>
      </c>
      <c r="D137" s="70">
        <v>10.49</v>
      </c>
      <c r="E137" s="133">
        <v>10.99</v>
      </c>
      <c r="F137" s="131">
        <f t="shared" si="0"/>
        <v>11.429600000000001</v>
      </c>
      <c r="G137" s="251">
        <f t="shared" si="3"/>
        <v>4.7664442326024847E-2</v>
      </c>
    </row>
    <row r="138" spans="1:7" ht="15.75" customHeight="1" x14ac:dyDescent="0.15">
      <c r="A138" s="390"/>
      <c r="B138" s="43" t="s">
        <v>211</v>
      </c>
      <c r="C138" s="46" t="s">
        <v>731</v>
      </c>
      <c r="D138" s="70">
        <v>10.49</v>
      </c>
      <c r="E138" s="133">
        <v>10.99</v>
      </c>
      <c r="F138" s="131">
        <f t="shared" si="0"/>
        <v>11.429600000000001</v>
      </c>
      <c r="G138" s="251">
        <f t="shared" si="3"/>
        <v>4.7664442326024847E-2</v>
      </c>
    </row>
    <row r="139" spans="1:7" ht="15.75" customHeight="1" x14ac:dyDescent="0.15">
      <c r="A139" s="390"/>
      <c r="B139" s="43" t="s">
        <v>213</v>
      </c>
      <c r="C139" s="42" t="s">
        <v>214</v>
      </c>
      <c r="D139" s="70">
        <v>10.99</v>
      </c>
      <c r="E139" s="133">
        <v>11.49</v>
      </c>
      <c r="F139" s="131">
        <f t="shared" si="0"/>
        <v>11.9496</v>
      </c>
      <c r="G139" s="251">
        <f t="shared" si="3"/>
        <v>4.5495905368516887E-2</v>
      </c>
    </row>
    <row r="140" spans="1:7" ht="15.75" customHeight="1" x14ac:dyDescent="0.15">
      <c r="A140" s="390"/>
      <c r="B140" s="43" t="s">
        <v>215</v>
      </c>
      <c r="C140" s="42" t="s">
        <v>732</v>
      </c>
      <c r="D140" s="70">
        <v>10.99</v>
      </c>
      <c r="E140" s="133">
        <v>10.99</v>
      </c>
      <c r="F140" s="131">
        <f t="shared" si="0"/>
        <v>11.429600000000001</v>
      </c>
      <c r="G140" s="251">
        <f t="shared" si="3"/>
        <v>0</v>
      </c>
    </row>
    <row r="141" spans="1:7" ht="15.75" customHeight="1" x14ac:dyDescent="0.15">
      <c r="A141" s="390"/>
      <c r="B141" s="43" t="s">
        <v>217</v>
      </c>
      <c r="C141" s="46" t="s">
        <v>733</v>
      </c>
      <c r="D141" s="70">
        <v>10.49</v>
      </c>
      <c r="E141" s="133">
        <v>10.99</v>
      </c>
      <c r="F141" s="131">
        <f t="shared" si="0"/>
        <v>11.429600000000001</v>
      </c>
      <c r="G141" s="251">
        <f t="shared" si="3"/>
        <v>4.7664442326024847E-2</v>
      </c>
    </row>
    <row r="142" spans="1:7" ht="15.75" customHeight="1" x14ac:dyDescent="0.15">
      <c r="A142" s="390"/>
      <c r="B142" s="261" t="s">
        <v>219</v>
      </c>
      <c r="C142" s="262" t="s">
        <v>734</v>
      </c>
      <c r="D142" s="151">
        <v>10.99</v>
      </c>
      <c r="E142" s="148"/>
      <c r="F142" s="131">
        <f t="shared" si="0"/>
        <v>0</v>
      </c>
      <c r="G142" s="251"/>
    </row>
    <row r="143" spans="1:7" ht="15.75" customHeight="1" x14ac:dyDescent="0.15">
      <c r="A143" s="390"/>
      <c r="B143" s="49" t="s">
        <v>223</v>
      </c>
      <c r="C143" s="60" t="s">
        <v>735</v>
      </c>
      <c r="D143" s="32">
        <v>8.99</v>
      </c>
      <c r="E143" s="135">
        <v>8.99</v>
      </c>
      <c r="F143" s="131">
        <f t="shared" si="0"/>
        <v>9.3496000000000006</v>
      </c>
      <c r="G143" s="251">
        <f t="shared" ref="G143:G183" si="4">+(E143/D143)-1</f>
        <v>0</v>
      </c>
    </row>
    <row r="144" spans="1:7" ht="15.75" customHeight="1" x14ac:dyDescent="0.15">
      <c r="A144" s="393" t="s">
        <v>253</v>
      </c>
      <c r="B144" s="399" t="s">
        <v>254</v>
      </c>
      <c r="C144" s="61" t="s">
        <v>255</v>
      </c>
      <c r="D144" s="141">
        <v>3.25</v>
      </c>
      <c r="E144" s="131">
        <v>3.59</v>
      </c>
      <c r="F144" s="131">
        <f t="shared" si="0"/>
        <v>3.7336</v>
      </c>
      <c r="G144" s="251">
        <f t="shared" si="4"/>
        <v>0.10461538461538455</v>
      </c>
    </row>
    <row r="145" spans="1:7" ht="15.75" customHeight="1" x14ac:dyDescent="0.15">
      <c r="A145" s="390"/>
      <c r="B145" s="368"/>
      <c r="C145" s="42" t="s">
        <v>256</v>
      </c>
      <c r="D145" s="70">
        <v>3.25</v>
      </c>
      <c r="E145" s="133">
        <v>3.59</v>
      </c>
      <c r="F145" s="131">
        <f t="shared" si="0"/>
        <v>3.7336</v>
      </c>
      <c r="G145" s="251">
        <f t="shared" si="4"/>
        <v>0.10461538461538455</v>
      </c>
    </row>
    <row r="146" spans="1:7" ht="15.75" customHeight="1" x14ac:dyDescent="0.15">
      <c r="A146" s="390"/>
      <c r="B146" s="368"/>
      <c r="C146" s="42" t="s">
        <v>257</v>
      </c>
      <c r="D146" s="70">
        <v>3.25</v>
      </c>
      <c r="E146" s="133">
        <v>3.59</v>
      </c>
      <c r="F146" s="131">
        <f t="shared" si="0"/>
        <v>3.7336</v>
      </c>
      <c r="G146" s="251">
        <f t="shared" si="4"/>
        <v>0.10461538461538455</v>
      </c>
    </row>
    <row r="147" spans="1:7" ht="15.75" customHeight="1" x14ac:dyDescent="0.15">
      <c r="A147" s="390"/>
      <c r="B147" s="368"/>
      <c r="C147" s="42" t="s">
        <v>11</v>
      </c>
      <c r="D147" s="70">
        <v>3.25</v>
      </c>
      <c r="E147" s="133">
        <v>3.59</v>
      </c>
      <c r="F147" s="131">
        <f t="shared" si="0"/>
        <v>3.7336</v>
      </c>
      <c r="G147" s="251">
        <f t="shared" si="4"/>
        <v>0.10461538461538455</v>
      </c>
    </row>
    <row r="148" spans="1:7" ht="15.75" customHeight="1" x14ac:dyDescent="0.15">
      <c r="A148" s="390"/>
      <c r="B148" s="368"/>
      <c r="C148" s="42" t="s">
        <v>258</v>
      </c>
      <c r="D148" s="70">
        <v>3.25</v>
      </c>
      <c r="E148" s="133">
        <v>3.59</v>
      </c>
      <c r="F148" s="131">
        <f t="shared" si="0"/>
        <v>3.7336</v>
      </c>
      <c r="G148" s="251">
        <f t="shared" si="4"/>
        <v>0.10461538461538455</v>
      </c>
    </row>
    <row r="149" spans="1:7" ht="15.75" customHeight="1" x14ac:dyDescent="0.15">
      <c r="A149" s="390"/>
      <c r="B149" s="368"/>
      <c r="C149" s="42" t="s">
        <v>259</v>
      </c>
      <c r="D149" s="70">
        <v>3.25</v>
      </c>
      <c r="E149" s="133">
        <v>3.59</v>
      </c>
      <c r="F149" s="131">
        <f t="shared" si="0"/>
        <v>3.7336</v>
      </c>
      <c r="G149" s="251">
        <f t="shared" si="4"/>
        <v>0.10461538461538455</v>
      </c>
    </row>
    <row r="150" spans="1:7" ht="15.75" customHeight="1" x14ac:dyDescent="0.15">
      <c r="A150" s="390"/>
      <c r="B150" s="368"/>
      <c r="C150" s="42" t="s">
        <v>736</v>
      </c>
      <c r="D150" s="70">
        <v>3.25</v>
      </c>
      <c r="E150" s="133">
        <v>3.59</v>
      </c>
      <c r="F150" s="131">
        <f t="shared" si="0"/>
        <v>3.7336</v>
      </c>
      <c r="G150" s="251">
        <f t="shared" si="4"/>
        <v>0.10461538461538455</v>
      </c>
    </row>
    <row r="151" spans="1:7" ht="15.75" customHeight="1" x14ac:dyDescent="0.15">
      <c r="A151" s="390"/>
      <c r="B151" s="368"/>
      <c r="C151" s="42" t="s">
        <v>261</v>
      </c>
      <c r="D151" s="70">
        <v>3.25</v>
      </c>
      <c r="E151" s="133">
        <v>3.59</v>
      </c>
      <c r="F151" s="131">
        <f t="shared" si="0"/>
        <v>3.7336</v>
      </c>
      <c r="G151" s="251">
        <f t="shared" si="4"/>
        <v>0.10461538461538455</v>
      </c>
    </row>
    <row r="152" spans="1:7" ht="15.75" customHeight="1" x14ac:dyDescent="0.15">
      <c r="A152" s="390"/>
      <c r="B152" s="368"/>
      <c r="C152" s="42" t="s">
        <v>262</v>
      </c>
      <c r="D152" s="70">
        <v>3.25</v>
      </c>
      <c r="E152" s="133">
        <v>3.59</v>
      </c>
      <c r="F152" s="131">
        <f t="shared" si="0"/>
        <v>3.7336</v>
      </c>
      <c r="G152" s="251">
        <f t="shared" si="4"/>
        <v>0.10461538461538455</v>
      </c>
    </row>
    <row r="153" spans="1:7" ht="15.75" customHeight="1" x14ac:dyDescent="0.15">
      <c r="A153" s="390"/>
      <c r="B153" s="368"/>
      <c r="C153" s="42" t="s">
        <v>263</v>
      </c>
      <c r="D153" s="70">
        <v>3.25</v>
      </c>
      <c r="E153" s="133">
        <v>3.59</v>
      </c>
      <c r="F153" s="131">
        <f t="shared" si="0"/>
        <v>3.7336</v>
      </c>
      <c r="G153" s="251">
        <f t="shared" si="4"/>
        <v>0.10461538461538455</v>
      </c>
    </row>
    <row r="154" spans="1:7" ht="15.75" customHeight="1" x14ac:dyDescent="0.15">
      <c r="A154" s="390"/>
      <c r="B154" s="366"/>
      <c r="C154" s="42" t="s">
        <v>267</v>
      </c>
      <c r="D154" s="70">
        <v>3.25</v>
      </c>
      <c r="E154" s="133">
        <v>3.59</v>
      </c>
      <c r="F154" s="131">
        <f t="shared" si="0"/>
        <v>3.7336</v>
      </c>
      <c r="G154" s="251">
        <f t="shared" si="4"/>
        <v>0.10461538461538455</v>
      </c>
    </row>
    <row r="155" spans="1:7" ht="15.75" customHeight="1" x14ac:dyDescent="0.15">
      <c r="A155" s="390"/>
      <c r="B155" s="365" t="s">
        <v>269</v>
      </c>
      <c r="C155" s="42" t="s">
        <v>270</v>
      </c>
      <c r="D155" s="70">
        <v>3.99</v>
      </c>
      <c r="E155" s="133">
        <v>4.29</v>
      </c>
      <c r="F155" s="131">
        <f t="shared" si="0"/>
        <v>4.4615999999999998</v>
      </c>
      <c r="G155" s="251">
        <f t="shared" si="4"/>
        <v>7.5187969924811915E-2</v>
      </c>
    </row>
    <row r="156" spans="1:7" ht="15.75" customHeight="1" x14ac:dyDescent="0.15">
      <c r="A156" s="390"/>
      <c r="B156" s="368"/>
      <c r="C156" s="42" t="s">
        <v>271</v>
      </c>
      <c r="D156" s="70">
        <v>3.99</v>
      </c>
      <c r="E156" s="133">
        <v>4.29</v>
      </c>
      <c r="F156" s="131">
        <f t="shared" si="0"/>
        <v>4.4615999999999998</v>
      </c>
      <c r="G156" s="251">
        <f t="shared" si="4"/>
        <v>7.5187969924811915E-2</v>
      </c>
    </row>
    <row r="157" spans="1:7" ht="15.75" customHeight="1" x14ac:dyDescent="0.15">
      <c r="A157" s="390"/>
      <c r="B157" s="368"/>
      <c r="C157" s="42" t="s">
        <v>272</v>
      </c>
      <c r="D157" s="70">
        <v>3.99</v>
      </c>
      <c r="E157" s="133">
        <v>4.29</v>
      </c>
      <c r="F157" s="131">
        <f t="shared" si="0"/>
        <v>4.4615999999999998</v>
      </c>
      <c r="G157" s="251">
        <f t="shared" si="4"/>
        <v>7.5187969924811915E-2</v>
      </c>
    </row>
    <row r="158" spans="1:7" ht="15.75" customHeight="1" x14ac:dyDescent="0.15">
      <c r="A158" s="390"/>
      <c r="B158" s="366"/>
      <c r="C158" s="42" t="s">
        <v>273</v>
      </c>
      <c r="D158" s="70">
        <v>3.99</v>
      </c>
      <c r="E158" s="133">
        <v>4.29</v>
      </c>
      <c r="F158" s="131">
        <f t="shared" si="0"/>
        <v>4.4615999999999998</v>
      </c>
      <c r="G158" s="251">
        <f t="shared" si="4"/>
        <v>7.5187969924811915E-2</v>
      </c>
    </row>
    <row r="159" spans="1:7" ht="15.75" customHeight="1" x14ac:dyDescent="0.15">
      <c r="A159" s="390"/>
      <c r="B159" s="365" t="s">
        <v>275</v>
      </c>
      <c r="C159" s="42" t="s">
        <v>276</v>
      </c>
      <c r="D159" s="70">
        <v>3.99</v>
      </c>
      <c r="E159" s="133">
        <v>4.29</v>
      </c>
      <c r="F159" s="131">
        <f t="shared" si="0"/>
        <v>4.4615999999999998</v>
      </c>
      <c r="G159" s="251">
        <f t="shared" si="4"/>
        <v>7.5187969924811915E-2</v>
      </c>
    </row>
    <row r="160" spans="1:7" ht="15.75" customHeight="1" x14ac:dyDescent="0.15">
      <c r="A160" s="390"/>
      <c r="B160" s="368"/>
      <c r="C160" s="46" t="s">
        <v>277</v>
      </c>
      <c r="D160" s="70">
        <v>3.99</v>
      </c>
      <c r="E160" s="133">
        <v>4.29</v>
      </c>
      <c r="F160" s="131">
        <f t="shared" si="0"/>
        <v>4.4615999999999998</v>
      </c>
      <c r="G160" s="251">
        <f t="shared" si="4"/>
        <v>7.5187969924811915E-2</v>
      </c>
    </row>
    <row r="161" spans="1:7" ht="15.75" customHeight="1" x14ac:dyDescent="0.15">
      <c r="A161" s="390"/>
      <c r="B161" s="366"/>
      <c r="C161" s="42" t="s">
        <v>278</v>
      </c>
      <c r="D161" s="70">
        <v>3.99</v>
      </c>
      <c r="E161" s="133">
        <v>4.29</v>
      </c>
      <c r="F161" s="131">
        <f t="shared" si="0"/>
        <v>4.4615999999999998</v>
      </c>
      <c r="G161" s="251">
        <f t="shared" si="4"/>
        <v>7.5187969924811915E-2</v>
      </c>
    </row>
    <row r="162" spans="1:7" ht="15.75" customHeight="1" x14ac:dyDescent="0.15">
      <c r="A162" s="390"/>
      <c r="B162" s="365" t="s">
        <v>280</v>
      </c>
      <c r="C162" s="42" t="s">
        <v>281</v>
      </c>
      <c r="D162" s="70">
        <v>3.25</v>
      </c>
      <c r="E162" s="133">
        <v>3.59</v>
      </c>
      <c r="F162" s="131">
        <f t="shared" si="0"/>
        <v>3.7336</v>
      </c>
      <c r="G162" s="251">
        <f t="shared" si="4"/>
        <v>0.10461538461538455</v>
      </c>
    </row>
    <row r="163" spans="1:7" ht="15.75" customHeight="1" x14ac:dyDescent="0.15">
      <c r="A163" s="390"/>
      <c r="B163" s="368"/>
      <c r="C163" s="42" t="s">
        <v>282</v>
      </c>
      <c r="D163" s="70">
        <v>3.25</v>
      </c>
      <c r="E163" s="133">
        <v>3.59</v>
      </c>
      <c r="F163" s="131">
        <f t="shared" si="0"/>
        <v>3.7336</v>
      </c>
      <c r="G163" s="251">
        <f t="shared" si="4"/>
        <v>0.10461538461538455</v>
      </c>
    </row>
    <row r="164" spans="1:7" ht="15.75" customHeight="1" x14ac:dyDescent="0.15">
      <c r="A164" s="390"/>
      <c r="B164" s="368"/>
      <c r="C164" s="42" t="s">
        <v>262</v>
      </c>
      <c r="D164" s="70">
        <v>3.25</v>
      </c>
      <c r="E164" s="133">
        <v>3.59</v>
      </c>
      <c r="F164" s="131">
        <f t="shared" si="0"/>
        <v>3.7336</v>
      </c>
      <c r="G164" s="251">
        <f t="shared" si="4"/>
        <v>0.10461538461538455</v>
      </c>
    </row>
    <row r="165" spans="1:7" ht="15.75" customHeight="1" x14ac:dyDescent="0.15">
      <c r="A165" s="390"/>
      <c r="B165" s="368"/>
      <c r="C165" s="42" t="s">
        <v>283</v>
      </c>
      <c r="D165" s="70">
        <v>3.25</v>
      </c>
      <c r="E165" s="133">
        <v>3.59</v>
      </c>
      <c r="F165" s="131">
        <f t="shared" si="0"/>
        <v>3.7336</v>
      </c>
      <c r="G165" s="251">
        <f t="shared" si="4"/>
        <v>0.10461538461538455</v>
      </c>
    </row>
    <row r="166" spans="1:7" ht="15.75" customHeight="1" x14ac:dyDescent="0.15">
      <c r="A166" s="390"/>
      <c r="B166" s="366"/>
      <c r="C166" s="39" t="s">
        <v>284</v>
      </c>
      <c r="D166" s="154"/>
      <c r="E166" s="263">
        <v>3.25</v>
      </c>
      <c r="F166" s="131">
        <f t="shared" si="0"/>
        <v>3.38</v>
      </c>
      <c r="G166" s="264" t="e">
        <f t="shared" si="4"/>
        <v>#DIV/0!</v>
      </c>
    </row>
    <row r="167" spans="1:7" ht="15.75" customHeight="1" x14ac:dyDescent="0.15">
      <c r="A167" s="390"/>
      <c r="B167" s="365" t="s">
        <v>285</v>
      </c>
      <c r="C167" s="46" t="s">
        <v>281</v>
      </c>
      <c r="D167" s="70">
        <v>2.99</v>
      </c>
      <c r="E167" s="133">
        <v>3.29</v>
      </c>
      <c r="F167" s="131">
        <f t="shared" si="0"/>
        <v>3.4216000000000002</v>
      </c>
      <c r="G167" s="251">
        <f t="shared" si="4"/>
        <v>0.10033444816053505</v>
      </c>
    </row>
    <row r="168" spans="1:7" ht="15.75" customHeight="1" x14ac:dyDescent="0.15">
      <c r="A168" s="390"/>
      <c r="B168" s="368"/>
      <c r="C168" s="42" t="s">
        <v>282</v>
      </c>
      <c r="D168" s="70">
        <v>2.99</v>
      </c>
      <c r="E168" s="133">
        <v>3.29</v>
      </c>
      <c r="F168" s="131">
        <f t="shared" si="0"/>
        <v>3.4216000000000002</v>
      </c>
      <c r="G168" s="251">
        <f t="shared" si="4"/>
        <v>0.10033444816053505</v>
      </c>
    </row>
    <row r="169" spans="1:7" ht="15.75" customHeight="1" x14ac:dyDescent="0.15">
      <c r="A169" s="390"/>
      <c r="B169" s="368"/>
      <c r="C169" s="42" t="s">
        <v>262</v>
      </c>
      <c r="D169" s="70">
        <v>2.99</v>
      </c>
      <c r="E169" s="133">
        <v>3.29</v>
      </c>
      <c r="F169" s="131">
        <f t="shared" si="0"/>
        <v>3.4216000000000002</v>
      </c>
      <c r="G169" s="251">
        <f t="shared" si="4"/>
        <v>0.10033444816053505</v>
      </c>
    </row>
    <row r="170" spans="1:7" ht="15.75" customHeight="1" x14ac:dyDescent="0.15">
      <c r="A170" s="390"/>
      <c r="B170" s="366"/>
      <c r="C170" s="39" t="s">
        <v>286</v>
      </c>
      <c r="D170" s="154"/>
      <c r="E170" s="263">
        <v>3.29</v>
      </c>
      <c r="F170" s="131">
        <f t="shared" si="0"/>
        <v>3.4216000000000002</v>
      </c>
      <c r="G170" s="264" t="e">
        <f t="shared" si="4"/>
        <v>#DIV/0!</v>
      </c>
    </row>
    <row r="171" spans="1:7" ht="15.75" customHeight="1" x14ac:dyDescent="0.15">
      <c r="A171" s="390"/>
      <c r="B171" s="365" t="s">
        <v>287</v>
      </c>
      <c r="C171" s="42" t="s">
        <v>737</v>
      </c>
      <c r="D171" s="70">
        <v>3.49</v>
      </c>
      <c r="E171" s="133">
        <v>3.79</v>
      </c>
      <c r="F171" s="131">
        <f t="shared" si="0"/>
        <v>3.9416000000000002</v>
      </c>
      <c r="G171" s="251">
        <f t="shared" si="4"/>
        <v>8.5959885386819535E-2</v>
      </c>
    </row>
    <row r="172" spans="1:7" ht="15.75" customHeight="1" x14ac:dyDescent="0.15">
      <c r="A172" s="390"/>
      <c r="B172" s="368"/>
      <c r="C172" s="42" t="s">
        <v>289</v>
      </c>
      <c r="D172" s="70">
        <v>3.49</v>
      </c>
      <c r="E172" s="133">
        <v>3.79</v>
      </c>
      <c r="F172" s="131">
        <f t="shared" si="0"/>
        <v>3.9416000000000002</v>
      </c>
      <c r="G172" s="251">
        <f t="shared" si="4"/>
        <v>8.5959885386819535E-2</v>
      </c>
    </row>
    <row r="173" spans="1:7" ht="15.75" customHeight="1" x14ac:dyDescent="0.15">
      <c r="A173" s="390"/>
      <c r="B173" s="368"/>
      <c r="C173" s="66" t="s">
        <v>290</v>
      </c>
      <c r="D173" s="70">
        <v>3.79</v>
      </c>
      <c r="E173" s="252">
        <v>3.99</v>
      </c>
      <c r="F173" s="131">
        <f t="shared" si="0"/>
        <v>4.1496000000000004</v>
      </c>
      <c r="G173" s="251">
        <f t="shared" si="4"/>
        <v>5.2770448548812743E-2</v>
      </c>
    </row>
    <row r="174" spans="1:7" ht="15.75" customHeight="1" x14ac:dyDescent="0.15">
      <c r="A174" s="390"/>
      <c r="B174" s="368"/>
      <c r="C174" s="46" t="s">
        <v>291</v>
      </c>
      <c r="D174" s="70">
        <v>3.49</v>
      </c>
      <c r="E174" s="133">
        <v>3.79</v>
      </c>
      <c r="F174" s="131">
        <f t="shared" si="0"/>
        <v>3.9416000000000002</v>
      </c>
      <c r="G174" s="251">
        <f t="shared" si="4"/>
        <v>8.5959885386819535E-2</v>
      </c>
    </row>
    <row r="175" spans="1:7" ht="15.75" customHeight="1" x14ac:dyDescent="0.15">
      <c r="A175" s="390"/>
      <c r="B175" s="368"/>
      <c r="C175" s="46" t="s">
        <v>292</v>
      </c>
      <c r="D175" s="70">
        <v>3.49</v>
      </c>
      <c r="E175" s="133">
        <v>3.79</v>
      </c>
      <c r="F175" s="131">
        <f t="shared" si="0"/>
        <v>3.9416000000000002</v>
      </c>
      <c r="G175" s="251">
        <f t="shared" si="4"/>
        <v>8.5959885386819535E-2</v>
      </c>
    </row>
    <row r="176" spans="1:7" ht="15.75" customHeight="1" x14ac:dyDescent="0.15">
      <c r="A176" s="390"/>
      <c r="B176" s="368"/>
      <c r="C176" s="42" t="s">
        <v>293</v>
      </c>
      <c r="D176" s="70">
        <v>3.99</v>
      </c>
      <c r="E176" s="133">
        <v>4.3899999999999997</v>
      </c>
      <c r="F176" s="131">
        <f t="shared" si="0"/>
        <v>4.5655999999999999</v>
      </c>
      <c r="G176" s="251">
        <f t="shared" si="4"/>
        <v>0.10025062656641581</v>
      </c>
    </row>
    <row r="177" spans="1:7" ht="15.75" customHeight="1" x14ac:dyDescent="0.15">
      <c r="A177" s="390"/>
      <c r="B177" s="368"/>
      <c r="C177" s="46" t="s">
        <v>294</v>
      </c>
      <c r="D177" s="70">
        <v>3.49</v>
      </c>
      <c r="E177" s="133">
        <v>3.79</v>
      </c>
      <c r="F177" s="131">
        <f t="shared" si="0"/>
        <v>3.9416000000000002</v>
      </c>
      <c r="G177" s="251">
        <f t="shared" si="4"/>
        <v>8.5959885386819535E-2</v>
      </c>
    </row>
    <row r="178" spans="1:7" ht="15.75" customHeight="1" x14ac:dyDescent="0.15">
      <c r="A178" s="390"/>
      <c r="B178" s="366"/>
      <c r="C178" s="46" t="s">
        <v>295</v>
      </c>
      <c r="D178" s="70">
        <v>3.49</v>
      </c>
      <c r="E178" s="133">
        <v>3.79</v>
      </c>
      <c r="F178" s="131">
        <f t="shared" si="0"/>
        <v>3.9416000000000002</v>
      </c>
      <c r="G178" s="251">
        <f t="shared" si="4"/>
        <v>8.5959885386819535E-2</v>
      </c>
    </row>
    <row r="179" spans="1:7" ht="15.75" customHeight="1" x14ac:dyDescent="0.15">
      <c r="A179" s="390"/>
      <c r="B179" s="365" t="s">
        <v>296</v>
      </c>
      <c r="C179" s="42" t="s">
        <v>297</v>
      </c>
      <c r="D179" s="70">
        <v>1.99</v>
      </c>
      <c r="E179" s="133">
        <v>2.25</v>
      </c>
      <c r="F179" s="131">
        <f t="shared" si="0"/>
        <v>2.34</v>
      </c>
      <c r="G179" s="251">
        <f t="shared" si="4"/>
        <v>0.13065326633165819</v>
      </c>
    </row>
    <row r="180" spans="1:7" ht="15.75" customHeight="1" x14ac:dyDescent="0.15">
      <c r="A180" s="390"/>
      <c r="B180" s="368"/>
      <c r="C180" s="42" t="s">
        <v>298</v>
      </c>
      <c r="D180" s="70">
        <v>3.29</v>
      </c>
      <c r="E180" s="252">
        <v>3.59</v>
      </c>
      <c r="F180" s="131">
        <f t="shared" si="0"/>
        <v>3.7336</v>
      </c>
      <c r="G180" s="251">
        <f t="shared" si="4"/>
        <v>9.1185410334346351E-2</v>
      </c>
    </row>
    <row r="181" spans="1:7" ht="15.75" customHeight="1" x14ac:dyDescent="0.15">
      <c r="A181" s="390"/>
      <c r="B181" s="368"/>
      <c r="C181" s="42" t="s">
        <v>299</v>
      </c>
      <c r="D181" s="70">
        <v>3.25</v>
      </c>
      <c r="E181" s="133">
        <v>3.49</v>
      </c>
      <c r="F181" s="131">
        <f t="shared" si="0"/>
        <v>3.6296000000000004</v>
      </c>
      <c r="G181" s="251">
        <f t="shared" si="4"/>
        <v>7.3846153846153895E-2</v>
      </c>
    </row>
    <row r="182" spans="1:7" ht="15.75" customHeight="1" x14ac:dyDescent="0.15">
      <c r="A182" s="390"/>
      <c r="B182" s="368"/>
      <c r="C182" s="42" t="s">
        <v>300</v>
      </c>
      <c r="D182" s="70">
        <v>2.4900000000000002</v>
      </c>
      <c r="E182" s="133">
        <v>2.99</v>
      </c>
      <c r="F182" s="131">
        <f t="shared" si="0"/>
        <v>3.1096000000000004</v>
      </c>
      <c r="G182" s="251">
        <f t="shared" si="4"/>
        <v>0.20080321285140568</v>
      </c>
    </row>
    <row r="183" spans="1:7" ht="15.75" customHeight="1" x14ac:dyDescent="0.15">
      <c r="A183" s="390"/>
      <c r="B183" s="368"/>
      <c r="C183" s="42" t="s">
        <v>261</v>
      </c>
      <c r="D183" s="70">
        <v>1.99</v>
      </c>
      <c r="E183" s="133">
        <v>2.25</v>
      </c>
      <c r="F183" s="131">
        <f t="shared" si="0"/>
        <v>2.34</v>
      </c>
      <c r="G183" s="251">
        <f t="shared" si="4"/>
        <v>0.13065326633165819</v>
      </c>
    </row>
    <row r="184" spans="1:7" ht="15.75" customHeight="1" x14ac:dyDescent="0.15">
      <c r="A184" s="390"/>
      <c r="B184" s="368"/>
      <c r="C184" s="76" t="s">
        <v>301</v>
      </c>
      <c r="D184" s="151">
        <v>2.4900000000000002</v>
      </c>
      <c r="E184" s="265"/>
      <c r="F184" s="131">
        <f t="shared" si="0"/>
        <v>0</v>
      </c>
      <c r="G184" s="266"/>
    </row>
    <row r="185" spans="1:7" ht="15.75" customHeight="1" x14ac:dyDescent="0.15">
      <c r="A185" s="390"/>
      <c r="B185" s="366"/>
      <c r="C185" s="42" t="s">
        <v>302</v>
      </c>
      <c r="D185" s="70">
        <v>3.79</v>
      </c>
      <c r="E185" s="133">
        <v>4.29</v>
      </c>
      <c r="F185" s="131">
        <f t="shared" si="0"/>
        <v>4.4615999999999998</v>
      </c>
      <c r="G185" s="251">
        <f t="shared" ref="G185:G252" si="5">+(E185/D185)-1</f>
        <v>0.13192612137203175</v>
      </c>
    </row>
    <row r="186" spans="1:7" ht="15.75" customHeight="1" x14ac:dyDescent="0.15">
      <c r="A186" s="390"/>
      <c r="B186" s="365" t="s">
        <v>303</v>
      </c>
      <c r="C186" s="42" t="s">
        <v>304</v>
      </c>
      <c r="D186" s="70">
        <v>2.79</v>
      </c>
      <c r="E186" s="133">
        <v>2.99</v>
      </c>
      <c r="F186" s="131">
        <f t="shared" si="0"/>
        <v>3.1096000000000004</v>
      </c>
      <c r="G186" s="251">
        <f t="shared" si="5"/>
        <v>7.1684587813620082E-2</v>
      </c>
    </row>
    <row r="187" spans="1:7" ht="15.75" customHeight="1" x14ac:dyDescent="0.15">
      <c r="A187" s="390"/>
      <c r="B187" s="366"/>
      <c r="C187" s="42" t="s">
        <v>305</v>
      </c>
      <c r="D187" s="70">
        <v>2.79</v>
      </c>
      <c r="E187" s="133">
        <v>2.99</v>
      </c>
      <c r="F187" s="131">
        <f t="shared" si="0"/>
        <v>3.1096000000000004</v>
      </c>
      <c r="G187" s="251">
        <f t="shared" si="5"/>
        <v>7.1684587813620082E-2</v>
      </c>
    </row>
    <row r="188" spans="1:7" ht="15.75" customHeight="1" x14ac:dyDescent="0.15">
      <c r="A188" s="390"/>
      <c r="B188" s="365" t="s">
        <v>309</v>
      </c>
      <c r="C188" s="42" t="s">
        <v>310</v>
      </c>
      <c r="D188" s="70">
        <v>2.99</v>
      </c>
      <c r="E188" s="133">
        <v>3.25</v>
      </c>
      <c r="F188" s="131">
        <f t="shared" si="0"/>
        <v>3.38</v>
      </c>
      <c r="G188" s="251">
        <f t="shared" si="5"/>
        <v>8.6956521739130377E-2</v>
      </c>
    </row>
    <row r="189" spans="1:7" ht="15.75" customHeight="1" x14ac:dyDescent="0.15">
      <c r="A189" s="390"/>
      <c r="B189" s="368"/>
      <c r="C189" s="42" t="s">
        <v>281</v>
      </c>
      <c r="D189" s="70">
        <v>2.99</v>
      </c>
      <c r="E189" s="133">
        <v>3.25</v>
      </c>
      <c r="F189" s="131">
        <f t="shared" si="0"/>
        <v>3.38</v>
      </c>
      <c r="G189" s="251">
        <f t="shared" si="5"/>
        <v>8.6956521739130377E-2</v>
      </c>
    </row>
    <row r="190" spans="1:7" ht="15.75" customHeight="1" x14ac:dyDescent="0.15">
      <c r="A190" s="390"/>
      <c r="B190" s="366"/>
      <c r="C190" s="42" t="s">
        <v>256</v>
      </c>
      <c r="D190" s="70">
        <v>2.99</v>
      </c>
      <c r="E190" s="133">
        <v>3.25</v>
      </c>
      <c r="F190" s="131">
        <f t="shared" si="0"/>
        <v>3.38</v>
      </c>
      <c r="G190" s="251">
        <f t="shared" si="5"/>
        <v>8.6956521739130377E-2</v>
      </c>
    </row>
    <row r="191" spans="1:7" ht="15.75" customHeight="1" x14ac:dyDescent="0.15">
      <c r="A191" s="390"/>
      <c r="B191" s="365" t="s">
        <v>311</v>
      </c>
      <c r="C191" s="42" t="s">
        <v>310</v>
      </c>
      <c r="D191" s="70">
        <v>2.25</v>
      </c>
      <c r="E191" s="133">
        <v>2.39</v>
      </c>
      <c r="F191" s="131">
        <f t="shared" si="0"/>
        <v>2.4856000000000003</v>
      </c>
      <c r="G191" s="251">
        <f t="shared" si="5"/>
        <v>6.2222222222222179E-2</v>
      </c>
    </row>
    <row r="192" spans="1:7" ht="15.75" customHeight="1" x14ac:dyDescent="0.15">
      <c r="A192" s="390"/>
      <c r="B192" s="366"/>
      <c r="C192" s="42" t="s">
        <v>281</v>
      </c>
      <c r="D192" s="70">
        <v>2.25</v>
      </c>
      <c r="E192" s="133">
        <v>2.39</v>
      </c>
      <c r="F192" s="131">
        <f t="shared" si="0"/>
        <v>2.4856000000000003</v>
      </c>
      <c r="G192" s="251">
        <f t="shared" si="5"/>
        <v>6.2222222222222179E-2</v>
      </c>
    </row>
    <row r="193" spans="1:7" ht="15.75" customHeight="1" x14ac:dyDescent="0.15">
      <c r="A193" s="390"/>
      <c r="B193" s="365" t="s">
        <v>313</v>
      </c>
      <c r="C193" s="42" t="s">
        <v>281</v>
      </c>
      <c r="D193" s="70">
        <v>4.6900000000000004</v>
      </c>
      <c r="E193" s="252">
        <v>4.99</v>
      </c>
      <c r="F193" s="131">
        <f t="shared" si="0"/>
        <v>5.1896000000000004</v>
      </c>
      <c r="G193" s="251">
        <f t="shared" si="5"/>
        <v>6.3965884861407307E-2</v>
      </c>
    </row>
    <row r="194" spans="1:7" ht="15.75" customHeight="1" x14ac:dyDescent="0.15">
      <c r="A194" s="390"/>
      <c r="B194" s="368"/>
      <c r="C194" s="42" t="s">
        <v>314</v>
      </c>
      <c r="D194" s="70">
        <v>4.6900000000000004</v>
      </c>
      <c r="E194" s="252">
        <v>4.99</v>
      </c>
      <c r="F194" s="131">
        <f t="shared" si="0"/>
        <v>5.1896000000000004</v>
      </c>
      <c r="G194" s="251">
        <f t="shared" si="5"/>
        <v>6.3965884861407307E-2</v>
      </c>
    </row>
    <row r="195" spans="1:7" ht="15.75" customHeight="1" x14ac:dyDescent="0.15">
      <c r="A195" s="390"/>
      <c r="B195" s="368"/>
      <c r="C195" s="42" t="s">
        <v>315</v>
      </c>
      <c r="D195" s="70">
        <v>4.6900000000000004</v>
      </c>
      <c r="E195" s="252">
        <v>4.99</v>
      </c>
      <c r="F195" s="131">
        <f t="shared" si="0"/>
        <v>5.1896000000000004</v>
      </c>
      <c r="G195" s="251">
        <f t="shared" si="5"/>
        <v>6.3965884861407307E-2</v>
      </c>
    </row>
    <row r="196" spans="1:7" ht="15.75" customHeight="1" x14ac:dyDescent="0.15">
      <c r="A196" s="390"/>
      <c r="B196" s="368"/>
      <c r="C196" s="42" t="s">
        <v>316</v>
      </c>
      <c r="D196" s="70">
        <v>4.6900000000000004</v>
      </c>
      <c r="E196" s="252">
        <v>4.99</v>
      </c>
      <c r="F196" s="131">
        <f t="shared" si="0"/>
        <v>5.1896000000000004</v>
      </c>
      <c r="G196" s="251">
        <f t="shared" si="5"/>
        <v>6.3965884861407307E-2</v>
      </c>
    </row>
    <row r="197" spans="1:7" ht="15.75" customHeight="1" x14ac:dyDescent="0.15">
      <c r="A197" s="390"/>
      <c r="B197" s="368"/>
      <c r="C197" s="42" t="s">
        <v>317</v>
      </c>
      <c r="D197" s="70">
        <v>4.6900000000000004</v>
      </c>
      <c r="E197" s="252">
        <v>4.99</v>
      </c>
      <c r="F197" s="131">
        <f t="shared" si="0"/>
        <v>5.1896000000000004</v>
      </c>
      <c r="G197" s="251">
        <f t="shared" si="5"/>
        <v>6.3965884861407307E-2</v>
      </c>
    </row>
    <row r="198" spans="1:7" ht="15.75" customHeight="1" x14ac:dyDescent="0.15">
      <c r="A198" s="390"/>
      <c r="B198" s="368"/>
      <c r="C198" s="42" t="s">
        <v>318</v>
      </c>
      <c r="D198" s="70">
        <v>4.6900000000000004</v>
      </c>
      <c r="E198" s="252">
        <v>4.99</v>
      </c>
      <c r="F198" s="131">
        <f t="shared" si="0"/>
        <v>5.1896000000000004</v>
      </c>
      <c r="G198" s="251">
        <f t="shared" si="5"/>
        <v>6.3965884861407307E-2</v>
      </c>
    </row>
    <row r="199" spans="1:7" ht="15.75" customHeight="1" x14ac:dyDescent="0.15">
      <c r="A199" s="390"/>
      <c r="B199" s="366"/>
      <c r="C199" s="42" t="s">
        <v>319</v>
      </c>
      <c r="D199" s="70">
        <v>4.6900000000000004</v>
      </c>
      <c r="E199" s="252">
        <v>4.99</v>
      </c>
      <c r="F199" s="131">
        <f t="shared" si="0"/>
        <v>5.1896000000000004</v>
      </c>
      <c r="G199" s="251">
        <f t="shared" si="5"/>
        <v>6.3965884861407307E-2</v>
      </c>
    </row>
    <row r="200" spans="1:7" ht="15.75" customHeight="1" x14ac:dyDescent="0.15">
      <c r="A200" s="390"/>
      <c r="B200" s="365" t="s">
        <v>326</v>
      </c>
      <c r="C200" s="46" t="s">
        <v>327</v>
      </c>
      <c r="D200" s="70">
        <v>3.99</v>
      </c>
      <c r="E200" s="133">
        <v>4.25</v>
      </c>
      <c r="F200" s="131">
        <f t="shared" si="0"/>
        <v>4.42</v>
      </c>
      <c r="G200" s="251">
        <f t="shared" si="5"/>
        <v>6.5162907268170311E-2</v>
      </c>
    </row>
    <row r="201" spans="1:7" ht="15.75" customHeight="1" x14ac:dyDescent="0.15">
      <c r="A201" s="390"/>
      <c r="B201" s="366"/>
      <c r="C201" s="69" t="s">
        <v>328</v>
      </c>
      <c r="D201" s="70">
        <v>3.79</v>
      </c>
      <c r="E201" s="252">
        <v>4.25</v>
      </c>
      <c r="F201" s="131">
        <f t="shared" si="0"/>
        <v>4.42</v>
      </c>
      <c r="G201" s="251">
        <f t="shared" si="5"/>
        <v>0.12137203166226906</v>
      </c>
    </row>
    <row r="202" spans="1:7" ht="15.75" customHeight="1" x14ac:dyDescent="0.15">
      <c r="A202" s="390"/>
      <c r="B202" s="365" t="s">
        <v>738</v>
      </c>
      <c r="C202" s="46" t="s">
        <v>40</v>
      </c>
      <c r="D202" s="70">
        <v>2.99</v>
      </c>
      <c r="E202" s="142">
        <v>2.99</v>
      </c>
      <c r="F202" s="131">
        <f t="shared" si="0"/>
        <v>3.1096000000000004</v>
      </c>
      <c r="G202" s="251">
        <f t="shared" si="5"/>
        <v>0</v>
      </c>
    </row>
    <row r="203" spans="1:7" ht="15.75" customHeight="1" x14ac:dyDescent="0.15">
      <c r="A203" s="390"/>
      <c r="B203" s="368"/>
      <c r="C203" s="42" t="s">
        <v>329</v>
      </c>
      <c r="D203" s="70">
        <v>9.99</v>
      </c>
      <c r="E203" s="142">
        <v>9.99</v>
      </c>
      <c r="F203" s="131">
        <f t="shared" si="0"/>
        <v>10.3896</v>
      </c>
      <c r="G203" s="251">
        <f t="shared" si="5"/>
        <v>0</v>
      </c>
    </row>
    <row r="204" spans="1:7" ht="15.75" customHeight="1" x14ac:dyDescent="0.15">
      <c r="A204" s="390"/>
      <c r="B204" s="368"/>
      <c r="C204" s="42" t="s">
        <v>330</v>
      </c>
      <c r="D204" s="70">
        <v>9.99</v>
      </c>
      <c r="E204" s="142">
        <v>9.99</v>
      </c>
      <c r="F204" s="131">
        <f t="shared" si="0"/>
        <v>10.3896</v>
      </c>
      <c r="G204" s="251">
        <f t="shared" si="5"/>
        <v>0</v>
      </c>
    </row>
    <row r="205" spans="1:7" ht="15.75" customHeight="1" x14ac:dyDescent="0.15">
      <c r="A205" s="390"/>
      <c r="B205" s="368"/>
      <c r="C205" s="42" t="s">
        <v>331</v>
      </c>
      <c r="D205" s="70">
        <v>9.99</v>
      </c>
      <c r="E205" s="142">
        <v>9.99</v>
      </c>
      <c r="F205" s="131">
        <f t="shared" si="0"/>
        <v>10.3896</v>
      </c>
      <c r="G205" s="251">
        <f t="shared" si="5"/>
        <v>0</v>
      </c>
    </row>
    <row r="206" spans="1:7" ht="15.75" customHeight="1" x14ac:dyDescent="0.15">
      <c r="A206" s="390"/>
      <c r="B206" s="368"/>
      <c r="C206" s="42" t="s">
        <v>332</v>
      </c>
      <c r="D206" s="70">
        <v>9.99</v>
      </c>
      <c r="E206" s="142">
        <v>9.99</v>
      </c>
      <c r="F206" s="131">
        <f t="shared" si="0"/>
        <v>10.3896</v>
      </c>
      <c r="G206" s="251">
        <f t="shared" si="5"/>
        <v>0</v>
      </c>
    </row>
    <row r="207" spans="1:7" ht="15.75" customHeight="1" x14ac:dyDescent="0.15">
      <c r="A207" s="390"/>
      <c r="B207" s="368"/>
      <c r="C207" s="42" t="s">
        <v>333</v>
      </c>
      <c r="D207" s="70">
        <v>9.99</v>
      </c>
      <c r="E207" s="142">
        <v>9.99</v>
      </c>
      <c r="F207" s="131">
        <f t="shared" si="0"/>
        <v>10.3896</v>
      </c>
      <c r="G207" s="251">
        <f t="shared" si="5"/>
        <v>0</v>
      </c>
    </row>
    <row r="208" spans="1:7" ht="15.75" customHeight="1" x14ac:dyDescent="0.15">
      <c r="A208" s="390"/>
      <c r="B208" s="368"/>
      <c r="C208" s="42" t="s">
        <v>334</v>
      </c>
      <c r="D208" s="70">
        <v>13.99</v>
      </c>
      <c r="E208" s="142">
        <v>13.99</v>
      </c>
      <c r="F208" s="131">
        <f t="shared" si="0"/>
        <v>14.5496</v>
      </c>
      <c r="G208" s="251">
        <f t="shared" si="5"/>
        <v>0</v>
      </c>
    </row>
    <row r="209" spans="1:7" ht="15.75" customHeight="1" x14ac:dyDescent="0.15">
      <c r="A209" s="390"/>
      <c r="B209" s="368"/>
      <c r="C209" s="42" t="s">
        <v>335</v>
      </c>
      <c r="D209" s="70">
        <v>11.99</v>
      </c>
      <c r="E209" s="142">
        <v>11.99</v>
      </c>
      <c r="F209" s="131">
        <f t="shared" si="0"/>
        <v>12.4696</v>
      </c>
      <c r="G209" s="251">
        <f t="shared" si="5"/>
        <v>0</v>
      </c>
    </row>
    <row r="210" spans="1:7" ht="15.75" customHeight="1" x14ac:dyDescent="0.15">
      <c r="A210" s="390"/>
      <c r="B210" s="366"/>
      <c r="C210" s="42" t="s">
        <v>336</v>
      </c>
      <c r="D210" s="70">
        <v>11.99</v>
      </c>
      <c r="E210" s="142">
        <v>11.99</v>
      </c>
      <c r="F210" s="131">
        <f t="shared" si="0"/>
        <v>12.4696</v>
      </c>
      <c r="G210" s="251">
        <f t="shared" si="5"/>
        <v>0</v>
      </c>
    </row>
    <row r="211" spans="1:7" ht="15.75" customHeight="1" x14ac:dyDescent="0.15">
      <c r="A211" s="390"/>
      <c r="B211" s="365" t="s">
        <v>337</v>
      </c>
      <c r="C211" s="42" t="s">
        <v>739</v>
      </c>
      <c r="D211" s="70">
        <v>10.99</v>
      </c>
      <c r="E211" s="142">
        <v>10.99</v>
      </c>
      <c r="F211" s="131">
        <f t="shared" si="0"/>
        <v>11.429600000000001</v>
      </c>
      <c r="G211" s="251">
        <f t="shared" si="5"/>
        <v>0</v>
      </c>
    </row>
    <row r="212" spans="1:7" ht="15.75" customHeight="1" x14ac:dyDescent="0.15">
      <c r="A212" s="390"/>
      <c r="B212" s="368"/>
      <c r="C212" s="42" t="s">
        <v>341</v>
      </c>
      <c r="D212" s="70">
        <v>19.989999999999998</v>
      </c>
      <c r="E212" s="70">
        <v>19.989999999999998</v>
      </c>
      <c r="F212" s="131">
        <f t="shared" si="0"/>
        <v>20.7896</v>
      </c>
      <c r="G212" s="251">
        <f t="shared" si="5"/>
        <v>0</v>
      </c>
    </row>
    <row r="213" spans="1:7" ht="15.75" customHeight="1" x14ac:dyDescent="0.15">
      <c r="A213" s="390"/>
      <c r="B213" s="368"/>
      <c r="C213" s="42" t="s">
        <v>342</v>
      </c>
      <c r="D213" s="70">
        <v>9.99</v>
      </c>
      <c r="E213" s="142">
        <v>9.99</v>
      </c>
      <c r="F213" s="131">
        <f t="shared" si="0"/>
        <v>10.3896</v>
      </c>
      <c r="G213" s="251">
        <f t="shared" si="5"/>
        <v>0</v>
      </c>
    </row>
    <row r="214" spans="1:7" ht="15.75" customHeight="1" x14ac:dyDescent="0.15">
      <c r="A214" s="390"/>
      <c r="B214" s="368"/>
      <c r="C214" s="42" t="s">
        <v>343</v>
      </c>
      <c r="D214" s="70">
        <v>12.99</v>
      </c>
      <c r="E214" s="142">
        <v>12.99</v>
      </c>
      <c r="F214" s="131">
        <f t="shared" si="0"/>
        <v>13.509600000000001</v>
      </c>
      <c r="G214" s="251">
        <f t="shared" si="5"/>
        <v>0</v>
      </c>
    </row>
    <row r="215" spans="1:7" ht="15.75" customHeight="1" x14ac:dyDescent="0.15">
      <c r="A215" s="390"/>
      <c r="B215" s="368"/>
      <c r="C215" s="42" t="s">
        <v>345</v>
      </c>
      <c r="D215" s="70">
        <v>13.99</v>
      </c>
      <c r="E215" s="142">
        <v>13.99</v>
      </c>
      <c r="F215" s="131">
        <f t="shared" si="0"/>
        <v>14.5496</v>
      </c>
      <c r="G215" s="251">
        <f t="shared" si="5"/>
        <v>0</v>
      </c>
    </row>
    <row r="216" spans="1:7" ht="15.75" customHeight="1" x14ac:dyDescent="0.15">
      <c r="A216" s="390"/>
      <c r="B216" s="368"/>
      <c r="C216" s="42" t="s">
        <v>346</v>
      </c>
      <c r="D216" s="70">
        <v>9.99</v>
      </c>
      <c r="E216" s="142">
        <v>9.99</v>
      </c>
      <c r="F216" s="131">
        <f t="shared" si="0"/>
        <v>10.3896</v>
      </c>
      <c r="G216" s="251">
        <f t="shared" si="5"/>
        <v>0</v>
      </c>
    </row>
    <row r="217" spans="1:7" ht="15.75" customHeight="1" x14ac:dyDescent="0.15">
      <c r="A217" s="390"/>
      <c r="B217" s="368"/>
      <c r="C217" s="42" t="s">
        <v>347</v>
      </c>
      <c r="D217" s="70">
        <v>8.99</v>
      </c>
      <c r="E217" s="142">
        <v>8.99</v>
      </c>
      <c r="F217" s="131">
        <f t="shared" si="0"/>
        <v>9.3496000000000006</v>
      </c>
      <c r="G217" s="251">
        <f t="shared" si="5"/>
        <v>0</v>
      </c>
    </row>
    <row r="218" spans="1:7" ht="15.75" customHeight="1" x14ac:dyDescent="0.15">
      <c r="A218" s="390"/>
      <c r="B218" s="368"/>
      <c r="C218" s="42" t="s">
        <v>348</v>
      </c>
      <c r="D218" s="70">
        <v>12.99</v>
      </c>
      <c r="E218" s="142">
        <v>14.99</v>
      </c>
      <c r="F218" s="131">
        <f t="shared" si="0"/>
        <v>15.589600000000001</v>
      </c>
      <c r="G218" s="251">
        <f t="shared" si="5"/>
        <v>0.15396458814472669</v>
      </c>
    </row>
    <row r="219" spans="1:7" ht="15.75" customHeight="1" x14ac:dyDescent="0.15">
      <c r="A219" s="390"/>
      <c r="B219" s="368"/>
      <c r="C219" s="42" t="s">
        <v>349</v>
      </c>
      <c r="D219" s="70">
        <v>24</v>
      </c>
      <c r="E219" s="142">
        <v>24</v>
      </c>
      <c r="F219" s="131">
        <f t="shared" si="0"/>
        <v>24.96</v>
      </c>
      <c r="G219" s="251">
        <f t="shared" si="5"/>
        <v>0</v>
      </c>
    </row>
    <row r="220" spans="1:7" ht="15.75" customHeight="1" x14ac:dyDescent="0.15">
      <c r="A220" s="391"/>
      <c r="B220" s="378"/>
      <c r="C220" s="78" t="s">
        <v>350</v>
      </c>
      <c r="D220" s="144">
        <v>22</v>
      </c>
      <c r="E220" s="155">
        <v>22</v>
      </c>
      <c r="F220" s="131">
        <f t="shared" si="0"/>
        <v>22.88</v>
      </c>
      <c r="G220" s="251">
        <f t="shared" si="5"/>
        <v>0</v>
      </c>
    </row>
    <row r="221" spans="1:7" ht="15.75" customHeight="1" x14ac:dyDescent="0.15">
      <c r="A221" s="400" t="s">
        <v>356</v>
      </c>
      <c r="B221" s="399" t="s">
        <v>357</v>
      </c>
      <c r="C221" s="61" t="s">
        <v>740</v>
      </c>
      <c r="D221" s="141">
        <v>1.89</v>
      </c>
      <c r="E221" s="131">
        <v>2.25</v>
      </c>
      <c r="F221" s="131">
        <f t="shared" si="0"/>
        <v>2.34</v>
      </c>
      <c r="G221" s="251">
        <f t="shared" si="5"/>
        <v>0.19047619047619047</v>
      </c>
    </row>
    <row r="222" spans="1:7" ht="15.75" customHeight="1" x14ac:dyDescent="0.15">
      <c r="A222" s="390"/>
      <c r="B222" s="368"/>
      <c r="C222" s="42" t="s">
        <v>741</v>
      </c>
      <c r="D222" s="70">
        <v>4.99</v>
      </c>
      <c r="E222" s="133">
        <v>4.99</v>
      </c>
      <c r="F222" s="131">
        <f t="shared" si="0"/>
        <v>5.1896000000000004</v>
      </c>
      <c r="G222" s="251">
        <f t="shared" si="5"/>
        <v>0</v>
      </c>
    </row>
    <row r="223" spans="1:7" ht="15.75" customHeight="1" x14ac:dyDescent="0.15">
      <c r="A223" s="390"/>
      <c r="B223" s="368"/>
      <c r="C223" s="42" t="s">
        <v>359</v>
      </c>
      <c r="D223" s="70">
        <v>0.6</v>
      </c>
      <c r="E223" s="252">
        <v>0.65</v>
      </c>
      <c r="F223" s="131">
        <f t="shared" si="0"/>
        <v>0.67600000000000005</v>
      </c>
      <c r="G223" s="251">
        <f t="shared" si="5"/>
        <v>8.3333333333333481E-2</v>
      </c>
    </row>
    <row r="224" spans="1:7" ht="15.75" customHeight="1" x14ac:dyDescent="0.15">
      <c r="A224" s="390"/>
      <c r="B224" s="366"/>
      <c r="C224" s="42" t="s">
        <v>742</v>
      </c>
      <c r="D224" s="70">
        <v>0.6</v>
      </c>
      <c r="E224" s="252">
        <v>0.65</v>
      </c>
      <c r="F224" s="131">
        <f t="shared" si="0"/>
        <v>0.67600000000000005</v>
      </c>
      <c r="G224" s="251">
        <f t="shared" si="5"/>
        <v>8.3333333333333481E-2</v>
      </c>
    </row>
    <row r="225" spans="1:7" ht="15.75" customHeight="1" x14ac:dyDescent="0.15">
      <c r="A225" s="390"/>
      <c r="B225" s="365" t="s">
        <v>361</v>
      </c>
      <c r="C225" s="46" t="s">
        <v>362</v>
      </c>
      <c r="D225" s="70">
        <v>2.79</v>
      </c>
      <c r="E225" s="252">
        <v>3.49</v>
      </c>
      <c r="F225" s="131">
        <f t="shared" si="0"/>
        <v>3.6296000000000004</v>
      </c>
      <c r="G225" s="251">
        <f t="shared" si="5"/>
        <v>0.2508960573476704</v>
      </c>
    </row>
    <row r="226" spans="1:7" ht="15.75" customHeight="1" x14ac:dyDescent="0.15">
      <c r="A226" s="390"/>
      <c r="B226" s="368"/>
      <c r="C226" s="42" t="s">
        <v>363</v>
      </c>
      <c r="D226" s="70">
        <v>2.99</v>
      </c>
      <c r="E226" s="252">
        <v>3.79</v>
      </c>
      <c r="F226" s="131">
        <f t="shared" si="0"/>
        <v>3.9416000000000002</v>
      </c>
      <c r="G226" s="251">
        <f t="shared" si="5"/>
        <v>0.26755852842809347</v>
      </c>
    </row>
    <row r="227" spans="1:7" ht="15.75" customHeight="1" x14ac:dyDescent="0.15">
      <c r="A227" s="390"/>
      <c r="B227" s="366"/>
      <c r="C227" s="42" t="s">
        <v>364</v>
      </c>
      <c r="D227" s="70">
        <v>2.79</v>
      </c>
      <c r="E227" s="252">
        <v>3.49</v>
      </c>
      <c r="F227" s="131">
        <f t="shared" si="0"/>
        <v>3.6296000000000004</v>
      </c>
      <c r="G227" s="251">
        <f t="shared" si="5"/>
        <v>0.2508960573476704</v>
      </c>
    </row>
    <row r="228" spans="1:7" ht="15.75" customHeight="1" x14ac:dyDescent="0.15">
      <c r="A228" s="390"/>
      <c r="B228" s="401" t="s">
        <v>743</v>
      </c>
      <c r="C228" s="42" t="s">
        <v>159</v>
      </c>
      <c r="D228" s="70">
        <v>3.49</v>
      </c>
      <c r="E228" s="252">
        <v>3.99</v>
      </c>
      <c r="F228" s="131">
        <f t="shared" si="0"/>
        <v>4.1496000000000004</v>
      </c>
      <c r="G228" s="251">
        <f t="shared" si="5"/>
        <v>0.14326647564469908</v>
      </c>
    </row>
    <row r="229" spans="1:7" ht="15.75" customHeight="1" x14ac:dyDescent="0.15">
      <c r="A229" s="390"/>
      <c r="B229" s="366"/>
      <c r="C229" s="42" t="s">
        <v>744</v>
      </c>
      <c r="D229" s="70">
        <v>3.49</v>
      </c>
      <c r="E229" s="252">
        <v>3.99</v>
      </c>
      <c r="F229" s="131">
        <f t="shared" si="0"/>
        <v>4.1496000000000004</v>
      </c>
      <c r="G229" s="251">
        <f t="shared" si="5"/>
        <v>0.14326647564469908</v>
      </c>
    </row>
    <row r="230" spans="1:7" ht="15.75" customHeight="1" x14ac:dyDescent="0.15">
      <c r="A230" s="390"/>
      <c r="B230" s="401" t="s">
        <v>365</v>
      </c>
      <c r="C230" s="42" t="s">
        <v>40</v>
      </c>
      <c r="D230" s="70">
        <v>4.99</v>
      </c>
      <c r="E230" s="252">
        <v>4.99</v>
      </c>
      <c r="F230" s="131">
        <f t="shared" si="0"/>
        <v>5.1896000000000004</v>
      </c>
      <c r="G230" s="251">
        <f t="shared" si="5"/>
        <v>0</v>
      </c>
    </row>
    <row r="231" spans="1:7" ht="15.75" customHeight="1" x14ac:dyDescent="0.15">
      <c r="A231" s="390"/>
      <c r="B231" s="366"/>
      <c r="C231" s="42" t="s">
        <v>366</v>
      </c>
      <c r="D231" s="70">
        <v>29.99</v>
      </c>
      <c r="E231" s="252">
        <v>29.99</v>
      </c>
      <c r="F231" s="131">
        <f t="shared" si="0"/>
        <v>31.189599999999999</v>
      </c>
      <c r="G231" s="251">
        <f t="shared" si="5"/>
        <v>0</v>
      </c>
    </row>
    <row r="232" spans="1:7" ht="15.75" customHeight="1" x14ac:dyDescent="0.15">
      <c r="A232" s="390"/>
      <c r="B232" s="365" t="s">
        <v>745</v>
      </c>
      <c r="C232" s="42" t="s">
        <v>368</v>
      </c>
      <c r="D232" s="70">
        <v>1.99</v>
      </c>
      <c r="E232" s="142">
        <v>1.99</v>
      </c>
      <c r="F232" s="131">
        <f t="shared" si="0"/>
        <v>2.0695999999999999</v>
      </c>
      <c r="G232" s="251">
        <f t="shared" si="5"/>
        <v>0</v>
      </c>
    </row>
    <row r="233" spans="1:7" ht="15.75" customHeight="1" x14ac:dyDescent="0.15">
      <c r="A233" s="390"/>
      <c r="B233" s="368"/>
      <c r="C233" s="42" t="s">
        <v>746</v>
      </c>
      <c r="D233" s="70">
        <v>1.99</v>
      </c>
      <c r="E233" s="142">
        <v>1.99</v>
      </c>
      <c r="F233" s="131">
        <f t="shared" si="0"/>
        <v>2.0695999999999999</v>
      </c>
      <c r="G233" s="251">
        <f t="shared" si="5"/>
        <v>0</v>
      </c>
    </row>
    <row r="234" spans="1:7" ht="15.75" customHeight="1" x14ac:dyDescent="0.15">
      <c r="A234" s="390"/>
      <c r="B234" s="368"/>
      <c r="C234" s="42" t="s">
        <v>747</v>
      </c>
      <c r="D234" s="70">
        <v>1.99</v>
      </c>
      <c r="E234" s="142">
        <v>1.99</v>
      </c>
      <c r="F234" s="131">
        <f t="shared" si="0"/>
        <v>2.0695999999999999</v>
      </c>
      <c r="G234" s="251">
        <f t="shared" si="5"/>
        <v>0</v>
      </c>
    </row>
    <row r="235" spans="1:7" ht="15.75" customHeight="1" x14ac:dyDescent="0.15">
      <c r="A235" s="390"/>
      <c r="B235" s="368"/>
      <c r="C235" s="156" t="s">
        <v>369</v>
      </c>
      <c r="D235" s="70">
        <v>4.99</v>
      </c>
      <c r="E235" s="142">
        <v>4.99</v>
      </c>
      <c r="F235" s="131">
        <f t="shared" si="0"/>
        <v>5.1896000000000004</v>
      </c>
      <c r="G235" s="251">
        <f t="shared" si="5"/>
        <v>0</v>
      </c>
    </row>
    <row r="236" spans="1:7" ht="15.75" customHeight="1" x14ac:dyDescent="0.15">
      <c r="A236" s="390"/>
      <c r="B236" s="368"/>
      <c r="C236" s="42" t="s">
        <v>748</v>
      </c>
      <c r="D236" s="70">
        <v>1.99</v>
      </c>
      <c r="E236" s="142">
        <v>1.99</v>
      </c>
      <c r="F236" s="131">
        <f t="shared" si="0"/>
        <v>2.0695999999999999</v>
      </c>
      <c r="G236" s="251">
        <f t="shared" si="5"/>
        <v>0</v>
      </c>
    </row>
    <row r="237" spans="1:7" ht="15.75" customHeight="1" x14ac:dyDescent="0.15">
      <c r="A237" s="390"/>
      <c r="B237" s="368"/>
      <c r="C237" s="42" t="s">
        <v>749</v>
      </c>
      <c r="D237" s="70">
        <v>3.49</v>
      </c>
      <c r="E237" s="142">
        <v>3.49</v>
      </c>
      <c r="F237" s="131">
        <f t="shared" si="0"/>
        <v>3.6296000000000004</v>
      </c>
      <c r="G237" s="251">
        <f t="shared" si="5"/>
        <v>0</v>
      </c>
    </row>
    <row r="238" spans="1:7" ht="15.75" customHeight="1" x14ac:dyDescent="0.15">
      <c r="A238" s="390"/>
      <c r="B238" s="368"/>
      <c r="C238" s="42" t="s">
        <v>370</v>
      </c>
      <c r="D238" s="70">
        <v>2.4900000000000002</v>
      </c>
      <c r="E238" s="142">
        <v>2.4900000000000002</v>
      </c>
      <c r="F238" s="131">
        <f t="shared" si="0"/>
        <v>2.5896000000000003</v>
      </c>
      <c r="G238" s="251">
        <f t="shared" si="5"/>
        <v>0</v>
      </c>
    </row>
    <row r="239" spans="1:7" ht="15.75" customHeight="1" x14ac:dyDescent="0.15">
      <c r="A239" s="390"/>
      <c r="B239" s="366"/>
      <c r="C239" s="42" t="s">
        <v>371</v>
      </c>
      <c r="D239" s="70">
        <v>4.99</v>
      </c>
      <c r="E239" s="142">
        <v>4.99</v>
      </c>
      <c r="F239" s="131">
        <f t="shared" si="0"/>
        <v>5.1896000000000004</v>
      </c>
      <c r="G239" s="251">
        <f t="shared" si="5"/>
        <v>0</v>
      </c>
    </row>
    <row r="240" spans="1:7" ht="15.75" customHeight="1" x14ac:dyDescent="0.15">
      <c r="A240" s="390"/>
      <c r="B240" s="365" t="s">
        <v>381</v>
      </c>
      <c r="C240" s="42" t="s">
        <v>382</v>
      </c>
      <c r="D240" s="70">
        <v>3.49</v>
      </c>
      <c r="E240" s="267">
        <v>3.79</v>
      </c>
      <c r="F240" s="131">
        <f t="shared" si="0"/>
        <v>3.9416000000000002</v>
      </c>
      <c r="G240" s="251">
        <f t="shared" si="5"/>
        <v>8.5959885386819535E-2</v>
      </c>
    </row>
    <row r="241" spans="1:7" ht="15.75" customHeight="1" x14ac:dyDescent="0.15">
      <c r="A241" s="390"/>
      <c r="B241" s="368"/>
      <c r="C241" s="42" t="s">
        <v>383</v>
      </c>
      <c r="D241" s="70">
        <v>4.49</v>
      </c>
      <c r="E241" s="267">
        <v>4.6900000000000004</v>
      </c>
      <c r="F241" s="131">
        <f t="shared" si="0"/>
        <v>4.8776000000000002</v>
      </c>
      <c r="G241" s="251">
        <f t="shared" si="5"/>
        <v>4.4543429844098092E-2</v>
      </c>
    </row>
    <row r="242" spans="1:7" ht="15.75" customHeight="1" x14ac:dyDescent="0.15">
      <c r="A242" s="390"/>
      <c r="B242" s="368"/>
      <c r="C242" s="42" t="s">
        <v>384</v>
      </c>
      <c r="D242" s="70">
        <v>5.99</v>
      </c>
      <c r="E242" s="267">
        <v>6.49</v>
      </c>
      <c r="F242" s="131">
        <f t="shared" si="0"/>
        <v>6.7496</v>
      </c>
      <c r="G242" s="251">
        <f t="shared" si="5"/>
        <v>8.3472454090150139E-2</v>
      </c>
    </row>
    <row r="243" spans="1:7" ht="15.75" customHeight="1" x14ac:dyDescent="0.15">
      <c r="A243" s="390"/>
      <c r="B243" s="368"/>
      <c r="C243" s="42" t="s">
        <v>385</v>
      </c>
      <c r="D243" s="70">
        <v>6.99</v>
      </c>
      <c r="E243" s="267">
        <v>7.49</v>
      </c>
      <c r="F243" s="131">
        <f t="shared" si="0"/>
        <v>7.7896000000000001</v>
      </c>
      <c r="G243" s="251">
        <f t="shared" si="5"/>
        <v>7.1530758226037161E-2</v>
      </c>
    </row>
    <row r="244" spans="1:7" ht="15.75" customHeight="1" x14ac:dyDescent="0.15">
      <c r="A244" s="390"/>
      <c r="B244" s="368"/>
      <c r="C244" s="42" t="s">
        <v>386</v>
      </c>
      <c r="D244" s="70">
        <v>3.49</v>
      </c>
      <c r="E244" s="252">
        <v>3.79</v>
      </c>
      <c r="F244" s="131">
        <f t="shared" si="0"/>
        <v>3.9416000000000002</v>
      </c>
      <c r="G244" s="251">
        <f t="shared" si="5"/>
        <v>8.5959885386819535E-2</v>
      </c>
    </row>
    <row r="245" spans="1:7" ht="15.75" customHeight="1" x14ac:dyDescent="0.15">
      <c r="A245" s="390"/>
      <c r="B245" s="368"/>
      <c r="C245" s="42" t="s">
        <v>387</v>
      </c>
      <c r="D245" s="70">
        <v>3.49</v>
      </c>
      <c r="E245" s="252">
        <v>3.79</v>
      </c>
      <c r="F245" s="131">
        <f t="shared" si="0"/>
        <v>3.9416000000000002</v>
      </c>
      <c r="G245" s="251">
        <f t="shared" si="5"/>
        <v>8.5959885386819535E-2</v>
      </c>
    </row>
    <row r="246" spans="1:7" ht="15.75" customHeight="1" x14ac:dyDescent="0.15">
      <c r="A246" s="393" t="s">
        <v>388</v>
      </c>
      <c r="B246" s="399" t="s">
        <v>389</v>
      </c>
      <c r="C246" s="61" t="s">
        <v>390</v>
      </c>
      <c r="D246" s="141">
        <v>2.4900000000000002</v>
      </c>
      <c r="E246" s="252">
        <v>2.69</v>
      </c>
      <c r="F246" s="131">
        <f t="shared" si="0"/>
        <v>2.7976000000000001</v>
      </c>
      <c r="G246" s="251">
        <f t="shared" si="5"/>
        <v>8.0321285140562138E-2</v>
      </c>
    </row>
    <row r="247" spans="1:7" ht="15.75" customHeight="1" x14ac:dyDescent="0.15">
      <c r="A247" s="390"/>
      <c r="B247" s="366"/>
      <c r="C247" s="42" t="s">
        <v>391</v>
      </c>
      <c r="D247" s="70">
        <v>9.99</v>
      </c>
      <c r="E247" s="252">
        <v>12.99</v>
      </c>
      <c r="F247" s="131">
        <f t="shared" si="0"/>
        <v>13.509600000000001</v>
      </c>
      <c r="G247" s="251">
        <f t="shared" si="5"/>
        <v>0.30030030030030019</v>
      </c>
    </row>
    <row r="248" spans="1:7" ht="15.75" customHeight="1" x14ac:dyDescent="0.15">
      <c r="A248" s="390"/>
      <c r="B248" s="365" t="s">
        <v>392</v>
      </c>
      <c r="C248" s="46" t="s">
        <v>129</v>
      </c>
      <c r="D248" s="70">
        <v>1.49</v>
      </c>
      <c r="E248" s="252">
        <v>1.65</v>
      </c>
      <c r="F248" s="131">
        <f t="shared" si="0"/>
        <v>1.716</v>
      </c>
      <c r="G248" s="251">
        <f t="shared" si="5"/>
        <v>0.10738255033557031</v>
      </c>
    </row>
    <row r="249" spans="1:7" ht="15.75" customHeight="1" x14ac:dyDescent="0.15">
      <c r="A249" s="390"/>
      <c r="B249" s="368"/>
      <c r="C249" s="46" t="s">
        <v>131</v>
      </c>
      <c r="D249" s="70">
        <v>3.99</v>
      </c>
      <c r="E249" s="252">
        <v>4.3899999999999997</v>
      </c>
      <c r="F249" s="131">
        <f t="shared" si="0"/>
        <v>4.5655999999999999</v>
      </c>
      <c r="G249" s="251">
        <f t="shared" si="5"/>
        <v>0.10025062656641581</v>
      </c>
    </row>
    <row r="250" spans="1:7" ht="15.75" customHeight="1" x14ac:dyDescent="0.15">
      <c r="A250" s="390"/>
      <c r="B250" s="366"/>
      <c r="C250" s="46" t="s">
        <v>393</v>
      </c>
      <c r="D250" s="70">
        <v>7.99</v>
      </c>
      <c r="E250" s="252">
        <v>8.49</v>
      </c>
      <c r="F250" s="131">
        <f t="shared" si="0"/>
        <v>8.829600000000001</v>
      </c>
      <c r="G250" s="251">
        <f t="shared" si="5"/>
        <v>6.2578222778473025E-2</v>
      </c>
    </row>
    <row r="251" spans="1:7" ht="15.75" customHeight="1" x14ac:dyDescent="0.15">
      <c r="A251" s="390"/>
      <c r="B251" s="365" t="s">
        <v>394</v>
      </c>
      <c r="C251" s="46" t="s">
        <v>129</v>
      </c>
      <c r="D251" s="70">
        <v>3.99</v>
      </c>
      <c r="E251" s="252">
        <v>3.99</v>
      </c>
      <c r="F251" s="131">
        <f t="shared" si="0"/>
        <v>4.1496000000000004</v>
      </c>
      <c r="G251" s="251">
        <f t="shared" si="5"/>
        <v>0</v>
      </c>
    </row>
    <row r="252" spans="1:7" ht="15.75" customHeight="1" x14ac:dyDescent="0.15">
      <c r="A252" s="390"/>
      <c r="B252" s="366"/>
      <c r="C252" s="46" t="s">
        <v>131</v>
      </c>
      <c r="D252" s="70">
        <v>4.99</v>
      </c>
      <c r="E252" s="252">
        <v>4.99</v>
      </c>
      <c r="F252" s="131">
        <f t="shared" si="0"/>
        <v>5.1896000000000004</v>
      </c>
      <c r="G252" s="251">
        <f t="shared" si="5"/>
        <v>0</v>
      </c>
    </row>
    <row r="253" spans="1:7" ht="15.75" customHeight="1" x14ac:dyDescent="0.15">
      <c r="A253" s="390"/>
      <c r="B253" s="365" t="s">
        <v>395</v>
      </c>
      <c r="C253" s="262" t="s">
        <v>395</v>
      </c>
      <c r="D253" s="151">
        <v>3.49</v>
      </c>
      <c r="E253" s="265"/>
      <c r="F253" s="131">
        <f t="shared" si="0"/>
        <v>0</v>
      </c>
      <c r="G253" s="266"/>
    </row>
    <row r="254" spans="1:7" ht="15.75" customHeight="1" x14ac:dyDescent="0.15">
      <c r="A254" s="390"/>
      <c r="B254" s="368"/>
      <c r="C254" s="42" t="s">
        <v>396</v>
      </c>
      <c r="D254" s="70">
        <v>2.25</v>
      </c>
      <c r="E254" s="252">
        <v>2.4900000000000002</v>
      </c>
      <c r="F254" s="131">
        <f t="shared" si="0"/>
        <v>2.5896000000000003</v>
      </c>
      <c r="G254" s="251">
        <f t="shared" ref="G254:G255" si="6">+(E254/D254)-1</f>
        <v>0.10666666666666669</v>
      </c>
    </row>
    <row r="255" spans="1:7" ht="15.75" customHeight="1" x14ac:dyDescent="0.15">
      <c r="A255" s="390"/>
      <c r="B255" s="368"/>
      <c r="C255" s="42" t="s">
        <v>397</v>
      </c>
      <c r="D255" s="70">
        <v>2.4900000000000002</v>
      </c>
      <c r="E255" s="252">
        <v>2.99</v>
      </c>
      <c r="F255" s="131">
        <f t="shared" si="0"/>
        <v>3.1096000000000004</v>
      </c>
      <c r="G255" s="251">
        <f t="shared" si="6"/>
        <v>0.20080321285140568</v>
      </c>
    </row>
    <row r="256" spans="1:7" ht="15.75" customHeight="1" x14ac:dyDescent="0.15">
      <c r="A256" s="390"/>
      <c r="B256" s="368"/>
      <c r="C256" s="42" t="s">
        <v>398</v>
      </c>
      <c r="D256" s="70">
        <v>3.99</v>
      </c>
      <c r="E256" s="252">
        <v>4.29</v>
      </c>
      <c r="F256" s="131">
        <f t="shared" si="0"/>
        <v>4.4615999999999998</v>
      </c>
      <c r="G256" s="251"/>
    </row>
    <row r="257" spans="1:7" ht="15.75" customHeight="1" x14ac:dyDescent="0.15">
      <c r="A257" s="390"/>
      <c r="B257" s="368"/>
      <c r="C257" s="42" t="s">
        <v>399</v>
      </c>
      <c r="D257" s="70">
        <v>1.99</v>
      </c>
      <c r="E257" s="252">
        <v>1.99</v>
      </c>
      <c r="F257" s="131">
        <f t="shared" ref="F257:F321" si="7">(E257*0.04)+E257</f>
        <v>2.0695999999999999</v>
      </c>
      <c r="G257" s="251">
        <f t="shared" ref="G257:G258" si="8">+(E257/D257)-1</f>
        <v>0</v>
      </c>
    </row>
    <row r="258" spans="1:7" ht="15.75" customHeight="1" x14ac:dyDescent="0.15">
      <c r="A258" s="390"/>
      <c r="B258" s="368"/>
      <c r="C258" s="42" t="s">
        <v>400</v>
      </c>
      <c r="D258" s="70">
        <v>1.99</v>
      </c>
      <c r="E258" s="252">
        <v>1.99</v>
      </c>
      <c r="F258" s="131">
        <f t="shared" si="7"/>
        <v>2.0695999999999999</v>
      </c>
      <c r="G258" s="251">
        <f t="shared" si="8"/>
        <v>0</v>
      </c>
    </row>
    <row r="259" spans="1:7" ht="15.75" customHeight="1" x14ac:dyDescent="0.15">
      <c r="A259" s="391"/>
      <c r="B259" s="378"/>
      <c r="C259" s="268" t="s">
        <v>401</v>
      </c>
      <c r="D259" s="158">
        <v>1.99</v>
      </c>
      <c r="E259" s="265"/>
      <c r="F259" s="131">
        <f t="shared" si="7"/>
        <v>0</v>
      </c>
      <c r="G259" s="251"/>
    </row>
    <row r="260" spans="1:7" ht="15.75" customHeight="1" x14ac:dyDescent="0.15">
      <c r="A260" s="393" t="s">
        <v>402</v>
      </c>
      <c r="B260" s="399" t="s">
        <v>403</v>
      </c>
      <c r="C260" s="61" t="s">
        <v>404</v>
      </c>
      <c r="D260" s="141">
        <v>1.89</v>
      </c>
      <c r="E260" s="269">
        <v>1.99</v>
      </c>
      <c r="F260" s="131">
        <f t="shared" si="7"/>
        <v>2.0695999999999999</v>
      </c>
      <c r="G260" s="251">
        <f t="shared" ref="G260:G321" si="9">+(E260/D260)-1</f>
        <v>5.2910052910053018E-2</v>
      </c>
    </row>
    <row r="261" spans="1:7" ht="15.75" customHeight="1" x14ac:dyDescent="0.15">
      <c r="A261" s="390"/>
      <c r="B261" s="368"/>
      <c r="C261" s="42" t="s">
        <v>405</v>
      </c>
      <c r="D261" s="142">
        <v>1.89</v>
      </c>
      <c r="E261" s="270">
        <v>1.99</v>
      </c>
      <c r="F261" s="131">
        <f t="shared" si="7"/>
        <v>2.0695999999999999</v>
      </c>
      <c r="G261" s="271">
        <f t="shared" si="9"/>
        <v>5.2910052910053018E-2</v>
      </c>
    </row>
    <row r="262" spans="1:7" ht="15.75" customHeight="1" x14ac:dyDescent="0.15">
      <c r="A262" s="390"/>
      <c r="B262" s="368"/>
      <c r="C262" s="42" t="s">
        <v>406</v>
      </c>
      <c r="D262" s="142">
        <v>1.89</v>
      </c>
      <c r="E262" s="270">
        <v>1.99</v>
      </c>
      <c r="F262" s="131">
        <f t="shared" si="7"/>
        <v>2.0695999999999999</v>
      </c>
      <c r="G262" s="271">
        <f t="shared" si="9"/>
        <v>5.2910052910053018E-2</v>
      </c>
    </row>
    <row r="263" spans="1:7" ht="15.75" customHeight="1" x14ac:dyDescent="0.15">
      <c r="A263" s="390"/>
      <c r="B263" s="368"/>
      <c r="C263" s="42" t="s">
        <v>407</v>
      </c>
      <c r="D263" s="142">
        <v>1.89</v>
      </c>
      <c r="E263" s="270">
        <v>1.99</v>
      </c>
      <c r="F263" s="131">
        <f t="shared" si="7"/>
        <v>2.0695999999999999</v>
      </c>
      <c r="G263" s="271">
        <f t="shared" si="9"/>
        <v>5.2910052910053018E-2</v>
      </c>
    </row>
    <row r="264" spans="1:7" ht="15.75" customHeight="1" x14ac:dyDescent="0.15">
      <c r="A264" s="390"/>
      <c r="B264" s="368"/>
      <c r="C264" s="42" t="s">
        <v>750</v>
      </c>
      <c r="D264" s="142">
        <v>1.89</v>
      </c>
      <c r="E264" s="270">
        <v>1.99</v>
      </c>
      <c r="F264" s="131">
        <f t="shared" si="7"/>
        <v>2.0695999999999999</v>
      </c>
      <c r="G264" s="271">
        <f t="shared" si="9"/>
        <v>5.2910052910053018E-2</v>
      </c>
    </row>
    <row r="265" spans="1:7" ht="15.75" customHeight="1" x14ac:dyDescent="0.15">
      <c r="A265" s="390"/>
      <c r="B265" s="368"/>
      <c r="C265" s="42" t="s">
        <v>410</v>
      </c>
      <c r="D265" s="142">
        <v>1.89</v>
      </c>
      <c r="E265" s="270">
        <v>1.99</v>
      </c>
      <c r="F265" s="131">
        <f t="shared" si="7"/>
        <v>2.0695999999999999</v>
      </c>
      <c r="G265" s="271">
        <f t="shared" si="9"/>
        <v>5.2910052910053018E-2</v>
      </c>
    </row>
    <row r="266" spans="1:7" ht="15.75" customHeight="1" x14ac:dyDescent="0.15">
      <c r="A266" s="390"/>
      <c r="B266" s="368"/>
      <c r="C266" s="42" t="s">
        <v>412</v>
      </c>
      <c r="D266" s="142">
        <v>1.89</v>
      </c>
      <c r="E266" s="270">
        <v>1.99</v>
      </c>
      <c r="F266" s="131">
        <f t="shared" si="7"/>
        <v>2.0695999999999999</v>
      </c>
      <c r="G266" s="271">
        <f t="shared" si="9"/>
        <v>5.2910052910053018E-2</v>
      </c>
    </row>
    <row r="267" spans="1:7" ht="15.75" customHeight="1" x14ac:dyDescent="0.15">
      <c r="A267" s="390"/>
      <c r="B267" s="368"/>
      <c r="C267" s="42" t="s">
        <v>413</v>
      </c>
      <c r="D267" s="142">
        <v>1.89</v>
      </c>
      <c r="E267" s="270">
        <v>1.99</v>
      </c>
      <c r="F267" s="131">
        <f t="shared" si="7"/>
        <v>2.0695999999999999</v>
      </c>
      <c r="G267" s="271">
        <f t="shared" si="9"/>
        <v>5.2910052910053018E-2</v>
      </c>
    </row>
    <row r="268" spans="1:7" ht="15.75" customHeight="1" x14ac:dyDescent="0.15">
      <c r="A268" s="390"/>
      <c r="B268" s="366"/>
      <c r="C268" s="42" t="s">
        <v>414</v>
      </c>
      <c r="D268" s="142">
        <v>1.89</v>
      </c>
      <c r="E268" s="272">
        <v>1.99</v>
      </c>
      <c r="F268" s="131">
        <f t="shared" si="7"/>
        <v>2.0695999999999999</v>
      </c>
      <c r="G268" s="271">
        <f t="shared" si="9"/>
        <v>5.2910052910053018E-2</v>
      </c>
    </row>
    <row r="269" spans="1:7" ht="15.75" customHeight="1" x14ac:dyDescent="0.15">
      <c r="A269" s="390"/>
      <c r="B269" s="365" t="s">
        <v>415</v>
      </c>
      <c r="C269" s="42" t="s">
        <v>404</v>
      </c>
      <c r="D269" s="142">
        <v>2.79</v>
      </c>
      <c r="E269" s="270">
        <v>2.99</v>
      </c>
      <c r="F269" s="131">
        <f t="shared" si="7"/>
        <v>3.1096000000000004</v>
      </c>
      <c r="G269" s="271">
        <f t="shared" si="9"/>
        <v>7.1684587813620082E-2</v>
      </c>
    </row>
    <row r="270" spans="1:7" ht="15.75" customHeight="1" x14ac:dyDescent="0.15">
      <c r="A270" s="390"/>
      <c r="B270" s="368"/>
      <c r="C270" s="42" t="s">
        <v>405</v>
      </c>
      <c r="D270" s="70">
        <v>2.79</v>
      </c>
      <c r="E270" s="273">
        <v>2.99</v>
      </c>
      <c r="F270" s="131">
        <f t="shared" si="7"/>
        <v>3.1096000000000004</v>
      </c>
      <c r="G270" s="251">
        <f t="shared" si="9"/>
        <v>7.1684587813620082E-2</v>
      </c>
    </row>
    <row r="271" spans="1:7" ht="15.75" customHeight="1" x14ac:dyDescent="0.15">
      <c r="A271" s="390"/>
      <c r="B271" s="368"/>
      <c r="C271" s="42" t="s">
        <v>406</v>
      </c>
      <c r="D271" s="70">
        <v>2.79</v>
      </c>
      <c r="E271" s="142">
        <v>2.99</v>
      </c>
      <c r="F271" s="131">
        <f t="shared" si="7"/>
        <v>3.1096000000000004</v>
      </c>
      <c r="G271" s="251">
        <f t="shared" si="9"/>
        <v>7.1684587813620082E-2</v>
      </c>
    </row>
    <row r="272" spans="1:7" ht="15.75" customHeight="1" x14ac:dyDescent="0.15">
      <c r="A272" s="390"/>
      <c r="B272" s="366"/>
      <c r="C272" s="42" t="s">
        <v>407</v>
      </c>
      <c r="D272" s="70">
        <v>2.79</v>
      </c>
      <c r="E272" s="142">
        <v>2.99</v>
      </c>
      <c r="F272" s="131">
        <f t="shared" si="7"/>
        <v>3.1096000000000004</v>
      </c>
      <c r="G272" s="251">
        <f t="shared" si="9"/>
        <v>7.1684587813620082E-2</v>
      </c>
    </row>
    <row r="273" spans="1:7" ht="15.75" customHeight="1" x14ac:dyDescent="0.15">
      <c r="A273" s="390"/>
      <c r="B273" s="365" t="s">
        <v>417</v>
      </c>
      <c r="C273" s="42" t="s">
        <v>404</v>
      </c>
      <c r="D273" s="70">
        <v>3.25</v>
      </c>
      <c r="E273" s="142">
        <v>3.49</v>
      </c>
      <c r="F273" s="131">
        <f t="shared" si="7"/>
        <v>3.6296000000000004</v>
      </c>
      <c r="G273" s="251">
        <f t="shared" si="9"/>
        <v>7.3846153846153895E-2</v>
      </c>
    </row>
    <row r="274" spans="1:7" ht="15.75" customHeight="1" x14ac:dyDescent="0.15">
      <c r="A274" s="390"/>
      <c r="B274" s="368"/>
      <c r="C274" s="42" t="s">
        <v>405</v>
      </c>
      <c r="D274" s="70">
        <v>3.25</v>
      </c>
      <c r="E274" s="142">
        <v>3.49</v>
      </c>
      <c r="F274" s="131">
        <f t="shared" si="7"/>
        <v>3.6296000000000004</v>
      </c>
      <c r="G274" s="251">
        <f t="shared" si="9"/>
        <v>7.3846153846153895E-2</v>
      </c>
    </row>
    <row r="275" spans="1:7" ht="15.75" customHeight="1" x14ac:dyDescent="0.15">
      <c r="A275" s="390"/>
      <c r="B275" s="368"/>
      <c r="C275" s="42" t="s">
        <v>407</v>
      </c>
      <c r="D275" s="70">
        <v>3.25</v>
      </c>
      <c r="E275" s="142">
        <v>3.49</v>
      </c>
      <c r="F275" s="131">
        <f t="shared" si="7"/>
        <v>3.6296000000000004</v>
      </c>
      <c r="G275" s="251">
        <f t="shared" si="9"/>
        <v>7.3846153846153895E-2</v>
      </c>
    </row>
    <row r="276" spans="1:7" ht="15.75" customHeight="1" x14ac:dyDescent="0.15">
      <c r="A276" s="390"/>
      <c r="B276" s="368"/>
      <c r="C276" s="42" t="s">
        <v>409</v>
      </c>
      <c r="D276" s="70">
        <v>3.25</v>
      </c>
      <c r="E276" s="142">
        <v>3.49</v>
      </c>
      <c r="F276" s="131">
        <f t="shared" si="7"/>
        <v>3.6296000000000004</v>
      </c>
      <c r="G276" s="251">
        <f t="shared" si="9"/>
        <v>7.3846153846153895E-2</v>
      </c>
    </row>
    <row r="277" spans="1:7" ht="15.75" customHeight="1" x14ac:dyDescent="0.15">
      <c r="A277" s="390"/>
      <c r="B277" s="366"/>
      <c r="C277" s="42" t="s">
        <v>418</v>
      </c>
      <c r="D277" s="70">
        <v>3.25</v>
      </c>
      <c r="E277" s="142">
        <v>3.49</v>
      </c>
      <c r="F277" s="131">
        <f t="shared" si="7"/>
        <v>3.6296000000000004</v>
      </c>
      <c r="G277" s="251">
        <f t="shared" si="9"/>
        <v>7.3846153846153895E-2</v>
      </c>
    </row>
    <row r="278" spans="1:7" ht="15.75" customHeight="1" x14ac:dyDescent="0.15">
      <c r="A278" s="390"/>
      <c r="B278" s="365" t="s">
        <v>419</v>
      </c>
      <c r="C278" s="46" t="s">
        <v>420</v>
      </c>
      <c r="D278" s="70">
        <v>3.89</v>
      </c>
      <c r="E278" s="133">
        <v>3.99</v>
      </c>
      <c r="F278" s="131">
        <f t="shared" si="7"/>
        <v>4.1496000000000004</v>
      </c>
      <c r="G278" s="251">
        <f t="shared" si="9"/>
        <v>2.5706940874036022E-2</v>
      </c>
    </row>
    <row r="279" spans="1:7" ht="15.75" customHeight="1" x14ac:dyDescent="0.15">
      <c r="A279" s="390"/>
      <c r="B279" s="368"/>
      <c r="C279" s="46" t="s">
        <v>131</v>
      </c>
      <c r="D279" s="70">
        <v>4.79</v>
      </c>
      <c r="E279" s="133">
        <v>4.99</v>
      </c>
      <c r="F279" s="131">
        <f t="shared" si="7"/>
        <v>5.1896000000000004</v>
      </c>
      <c r="G279" s="251">
        <f t="shared" si="9"/>
        <v>4.175365344467652E-2</v>
      </c>
    </row>
    <row r="280" spans="1:7" ht="15.75" customHeight="1" x14ac:dyDescent="0.15">
      <c r="A280" s="390"/>
      <c r="B280" s="366"/>
      <c r="C280" s="46" t="s">
        <v>421</v>
      </c>
      <c r="D280" s="70">
        <v>27.99</v>
      </c>
      <c r="E280" s="133">
        <v>27.99</v>
      </c>
      <c r="F280" s="131">
        <f t="shared" si="7"/>
        <v>29.109599999999997</v>
      </c>
      <c r="G280" s="251">
        <f t="shared" si="9"/>
        <v>0</v>
      </c>
    </row>
    <row r="281" spans="1:7" ht="15.75" customHeight="1" x14ac:dyDescent="0.15">
      <c r="A281" s="390"/>
      <c r="B281" s="365" t="s">
        <v>422</v>
      </c>
      <c r="C281" s="42" t="s">
        <v>12</v>
      </c>
      <c r="D281" s="159">
        <v>3.49</v>
      </c>
      <c r="E281" s="160">
        <v>3.49</v>
      </c>
      <c r="F281" s="131">
        <f t="shared" si="7"/>
        <v>3.6296000000000004</v>
      </c>
      <c r="G281" s="251">
        <f t="shared" si="9"/>
        <v>0</v>
      </c>
    </row>
    <row r="282" spans="1:7" ht="15.75" customHeight="1" x14ac:dyDescent="0.15">
      <c r="A282" s="390"/>
      <c r="B282" s="368"/>
      <c r="C282" s="42" t="s">
        <v>8</v>
      </c>
      <c r="D282" s="159">
        <v>3.49</v>
      </c>
      <c r="E282" s="160">
        <v>3.49</v>
      </c>
      <c r="F282" s="131">
        <f t="shared" si="7"/>
        <v>3.6296000000000004</v>
      </c>
      <c r="G282" s="251">
        <f t="shared" si="9"/>
        <v>0</v>
      </c>
    </row>
    <row r="283" spans="1:7" ht="15.75" customHeight="1" x14ac:dyDescent="0.15">
      <c r="A283" s="390"/>
      <c r="B283" s="368"/>
      <c r="C283" s="42" t="s">
        <v>15</v>
      </c>
      <c r="D283" s="159">
        <v>3.49</v>
      </c>
      <c r="E283" s="160">
        <v>3.49</v>
      </c>
      <c r="F283" s="131">
        <f t="shared" si="7"/>
        <v>3.6296000000000004</v>
      </c>
      <c r="G283" s="251">
        <f t="shared" si="9"/>
        <v>0</v>
      </c>
    </row>
    <row r="284" spans="1:7" ht="15.75" customHeight="1" x14ac:dyDescent="0.15">
      <c r="A284" s="390"/>
      <c r="B284" s="368"/>
      <c r="C284" s="42" t="s">
        <v>263</v>
      </c>
      <c r="D284" s="159">
        <v>3.49</v>
      </c>
      <c r="E284" s="160">
        <v>3.49</v>
      </c>
      <c r="F284" s="131">
        <f t="shared" si="7"/>
        <v>3.6296000000000004</v>
      </c>
      <c r="G284" s="251">
        <f t="shared" si="9"/>
        <v>0</v>
      </c>
    </row>
    <row r="285" spans="1:7" ht="15.75" customHeight="1" x14ac:dyDescent="0.15">
      <c r="A285" s="390"/>
      <c r="B285" s="368"/>
      <c r="C285" s="42" t="s">
        <v>423</v>
      </c>
      <c r="D285" s="159">
        <v>3.49</v>
      </c>
      <c r="E285" s="160">
        <v>3.49</v>
      </c>
      <c r="F285" s="131">
        <f t="shared" si="7"/>
        <v>3.6296000000000004</v>
      </c>
      <c r="G285" s="251">
        <f t="shared" si="9"/>
        <v>0</v>
      </c>
    </row>
    <row r="286" spans="1:7" ht="15.75" customHeight="1" x14ac:dyDescent="0.15">
      <c r="A286" s="390"/>
      <c r="B286" s="368"/>
      <c r="C286" s="42" t="s">
        <v>266</v>
      </c>
      <c r="D286" s="159">
        <v>3.49</v>
      </c>
      <c r="E286" s="160">
        <v>3.49</v>
      </c>
      <c r="F286" s="131">
        <f t="shared" si="7"/>
        <v>3.6296000000000004</v>
      </c>
      <c r="G286" s="251">
        <f t="shared" si="9"/>
        <v>0</v>
      </c>
    </row>
    <row r="287" spans="1:7" ht="15.75" customHeight="1" x14ac:dyDescent="0.15">
      <c r="A287" s="390"/>
      <c r="B287" s="368"/>
      <c r="C287" s="42" t="s">
        <v>424</v>
      </c>
      <c r="D287" s="159">
        <v>3.49</v>
      </c>
      <c r="E287" s="160">
        <v>3.49</v>
      </c>
      <c r="F287" s="131">
        <f t="shared" si="7"/>
        <v>3.6296000000000004</v>
      </c>
      <c r="G287" s="251">
        <f t="shared" si="9"/>
        <v>0</v>
      </c>
    </row>
    <row r="288" spans="1:7" ht="15.75" customHeight="1" x14ac:dyDescent="0.15">
      <c r="A288" s="390"/>
      <c r="B288" s="366"/>
      <c r="C288" s="42" t="s">
        <v>316</v>
      </c>
      <c r="D288" s="159">
        <v>3.49</v>
      </c>
      <c r="E288" s="160">
        <v>3.49</v>
      </c>
      <c r="F288" s="131">
        <f t="shared" si="7"/>
        <v>3.6296000000000004</v>
      </c>
      <c r="G288" s="251">
        <f t="shared" si="9"/>
        <v>0</v>
      </c>
    </row>
    <row r="289" spans="1:7" ht="15.75" customHeight="1" x14ac:dyDescent="0.15">
      <c r="A289" s="390"/>
      <c r="B289" s="365" t="s">
        <v>425</v>
      </c>
      <c r="C289" s="42" t="s">
        <v>12</v>
      </c>
      <c r="D289" s="159">
        <v>3.99</v>
      </c>
      <c r="E289" s="160">
        <v>3.99</v>
      </c>
      <c r="F289" s="131">
        <f t="shared" si="7"/>
        <v>4.1496000000000004</v>
      </c>
      <c r="G289" s="251">
        <f t="shared" si="9"/>
        <v>0</v>
      </c>
    </row>
    <row r="290" spans="1:7" ht="15.75" customHeight="1" x14ac:dyDescent="0.15">
      <c r="A290" s="390"/>
      <c r="B290" s="368"/>
      <c r="C290" s="42" t="s">
        <v>8</v>
      </c>
      <c r="D290" s="159">
        <v>3.99</v>
      </c>
      <c r="E290" s="160">
        <v>3.99</v>
      </c>
      <c r="F290" s="131">
        <f t="shared" si="7"/>
        <v>4.1496000000000004</v>
      </c>
      <c r="G290" s="251">
        <f t="shared" si="9"/>
        <v>0</v>
      </c>
    </row>
    <row r="291" spans="1:7" ht="15.75" customHeight="1" x14ac:dyDescent="0.15">
      <c r="A291" s="390"/>
      <c r="B291" s="368"/>
      <c r="C291" s="42" t="s">
        <v>15</v>
      </c>
      <c r="D291" s="159">
        <v>3.99</v>
      </c>
      <c r="E291" s="160">
        <v>3.99</v>
      </c>
      <c r="F291" s="131">
        <f t="shared" si="7"/>
        <v>4.1496000000000004</v>
      </c>
      <c r="G291" s="251">
        <f t="shared" si="9"/>
        <v>0</v>
      </c>
    </row>
    <row r="292" spans="1:7" ht="15.75" customHeight="1" x14ac:dyDescent="0.15">
      <c r="A292" s="390"/>
      <c r="B292" s="368"/>
      <c r="C292" s="42" t="s">
        <v>263</v>
      </c>
      <c r="D292" s="159">
        <v>3.99</v>
      </c>
      <c r="E292" s="160">
        <v>3.99</v>
      </c>
      <c r="F292" s="131">
        <f t="shared" si="7"/>
        <v>4.1496000000000004</v>
      </c>
      <c r="G292" s="251">
        <f t="shared" si="9"/>
        <v>0</v>
      </c>
    </row>
    <row r="293" spans="1:7" ht="15.75" customHeight="1" x14ac:dyDescent="0.15">
      <c r="A293" s="390"/>
      <c r="B293" s="368"/>
      <c r="C293" s="42" t="s">
        <v>423</v>
      </c>
      <c r="D293" s="159">
        <v>3.99</v>
      </c>
      <c r="E293" s="160">
        <v>3.99</v>
      </c>
      <c r="F293" s="131">
        <f t="shared" si="7"/>
        <v>4.1496000000000004</v>
      </c>
      <c r="G293" s="251">
        <f t="shared" si="9"/>
        <v>0</v>
      </c>
    </row>
    <row r="294" spans="1:7" ht="15.75" customHeight="1" x14ac:dyDescent="0.15">
      <c r="A294" s="390"/>
      <c r="B294" s="368"/>
      <c r="C294" s="42" t="s">
        <v>266</v>
      </c>
      <c r="D294" s="159">
        <v>3.99</v>
      </c>
      <c r="E294" s="160">
        <v>3.99</v>
      </c>
      <c r="F294" s="131">
        <f t="shared" si="7"/>
        <v>4.1496000000000004</v>
      </c>
      <c r="G294" s="251">
        <f t="shared" si="9"/>
        <v>0</v>
      </c>
    </row>
    <row r="295" spans="1:7" ht="15.75" customHeight="1" x14ac:dyDescent="0.15">
      <c r="A295" s="390"/>
      <c r="B295" s="368"/>
      <c r="C295" s="42" t="s">
        <v>424</v>
      </c>
      <c r="D295" s="159">
        <v>3.99</v>
      </c>
      <c r="E295" s="160">
        <v>3.99</v>
      </c>
      <c r="F295" s="131">
        <f t="shared" si="7"/>
        <v>4.1496000000000004</v>
      </c>
      <c r="G295" s="251">
        <f t="shared" si="9"/>
        <v>0</v>
      </c>
    </row>
    <row r="296" spans="1:7" ht="15.75" customHeight="1" x14ac:dyDescent="0.15">
      <c r="A296" s="390"/>
      <c r="B296" s="366"/>
      <c r="C296" s="42" t="s">
        <v>316</v>
      </c>
      <c r="D296" s="159">
        <v>3.99</v>
      </c>
      <c r="E296" s="160">
        <v>3.99</v>
      </c>
      <c r="F296" s="131">
        <f t="shared" si="7"/>
        <v>4.1496000000000004</v>
      </c>
      <c r="G296" s="251">
        <f t="shared" si="9"/>
        <v>0</v>
      </c>
    </row>
    <row r="297" spans="1:7" ht="15.75" customHeight="1" x14ac:dyDescent="0.15">
      <c r="A297" s="390"/>
      <c r="B297" s="365" t="s">
        <v>426</v>
      </c>
      <c r="C297" s="46" t="s">
        <v>129</v>
      </c>
      <c r="D297" s="70">
        <v>2.29</v>
      </c>
      <c r="E297" s="252">
        <v>2.29</v>
      </c>
      <c r="F297" s="131">
        <f t="shared" si="7"/>
        <v>2.3816000000000002</v>
      </c>
      <c r="G297" s="251">
        <f t="shared" si="9"/>
        <v>0</v>
      </c>
    </row>
    <row r="298" spans="1:7" ht="15.75" customHeight="1" x14ac:dyDescent="0.15">
      <c r="A298" s="390"/>
      <c r="B298" s="366"/>
      <c r="C298" s="46" t="s">
        <v>420</v>
      </c>
      <c r="D298" s="70">
        <v>3.49</v>
      </c>
      <c r="E298" s="252">
        <v>3.49</v>
      </c>
      <c r="F298" s="131">
        <f t="shared" si="7"/>
        <v>3.6296000000000004</v>
      </c>
      <c r="G298" s="251">
        <f t="shared" si="9"/>
        <v>0</v>
      </c>
    </row>
    <row r="299" spans="1:7" ht="15.75" customHeight="1" x14ac:dyDescent="0.15">
      <c r="A299" s="390"/>
      <c r="B299" s="365" t="s">
        <v>751</v>
      </c>
      <c r="C299" s="42" t="s">
        <v>428</v>
      </c>
      <c r="D299" s="70">
        <v>2.99</v>
      </c>
      <c r="E299" s="142">
        <v>2.99</v>
      </c>
      <c r="F299" s="131">
        <f t="shared" si="7"/>
        <v>3.1096000000000004</v>
      </c>
      <c r="G299" s="251">
        <f t="shared" si="9"/>
        <v>0</v>
      </c>
    </row>
    <row r="300" spans="1:7" ht="15.75" customHeight="1" x14ac:dyDescent="0.15">
      <c r="A300" s="390"/>
      <c r="B300" s="368"/>
      <c r="C300" s="42" t="s">
        <v>429</v>
      </c>
      <c r="D300" s="70">
        <v>2.99</v>
      </c>
      <c r="E300" s="142">
        <v>2.99</v>
      </c>
      <c r="F300" s="131">
        <f t="shared" si="7"/>
        <v>3.1096000000000004</v>
      </c>
      <c r="G300" s="251">
        <f t="shared" si="9"/>
        <v>0</v>
      </c>
    </row>
    <row r="301" spans="1:7" ht="15.75" customHeight="1" x14ac:dyDescent="0.15">
      <c r="A301" s="390"/>
      <c r="B301" s="366"/>
      <c r="C301" s="42" t="s">
        <v>430</v>
      </c>
      <c r="D301" s="70">
        <v>2.99</v>
      </c>
      <c r="E301" s="142">
        <v>2.99</v>
      </c>
      <c r="F301" s="131">
        <f t="shared" si="7"/>
        <v>3.1096000000000004</v>
      </c>
      <c r="G301" s="251">
        <f t="shared" si="9"/>
        <v>0</v>
      </c>
    </row>
    <row r="302" spans="1:7" ht="15.75" customHeight="1" x14ac:dyDescent="0.15">
      <c r="A302" s="390"/>
      <c r="B302" s="365" t="s">
        <v>435</v>
      </c>
      <c r="C302" s="42" t="s">
        <v>436</v>
      </c>
      <c r="D302" s="70">
        <v>2.99</v>
      </c>
      <c r="E302" s="142">
        <v>2.99</v>
      </c>
      <c r="F302" s="131">
        <f t="shared" si="7"/>
        <v>3.1096000000000004</v>
      </c>
      <c r="G302" s="251">
        <f t="shared" si="9"/>
        <v>0</v>
      </c>
    </row>
    <row r="303" spans="1:7" ht="15.75" customHeight="1" x14ac:dyDescent="0.15">
      <c r="A303" s="390"/>
      <c r="B303" s="368"/>
      <c r="C303" s="42" t="s">
        <v>437</v>
      </c>
      <c r="D303" s="70">
        <v>2.99</v>
      </c>
      <c r="E303" s="142">
        <v>2.99</v>
      </c>
      <c r="F303" s="131">
        <f t="shared" si="7"/>
        <v>3.1096000000000004</v>
      </c>
      <c r="G303" s="251">
        <f t="shared" si="9"/>
        <v>0</v>
      </c>
    </row>
    <row r="304" spans="1:7" ht="15.75" customHeight="1" x14ac:dyDescent="0.15">
      <c r="A304" s="390"/>
      <c r="B304" s="368"/>
      <c r="C304" s="42" t="s">
        <v>438</v>
      </c>
      <c r="D304" s="70">
        <v>2.99</v>
      </c>
      <c r="E304" s="142">
        <v>2.99</v>
      </c>
      <c r="F304" s="131">
        <f t="shared" si="7"/>
        <v>3.1096000000000004</v>
      </c>
      <c r="G304" s="251">
        <f t="shared" si="9"/>
        <v>0</v>
      </c>
    </row>
    <row r="305" spans="1:7" ht="15.75" customHeight="1" x14ac:dyDescent="0.15">
      <c r="A305" s="390"/>
      <c r="B305" s="366"/>
      <c r="C305" s="42" t="s">
        <v>439</v>
      </c>
      <c r="D305" s="70">
        <v>2.99</v>
      </c>
      <c r="E305" s="142">
        <v>2.99</v>
      </c>
      <c r="F305" s="131">
        <f t="shared" si="7"/>
        <v>3.1096000000000004</v>
      </c>
      <c r="G305" s="251">
        <f t="shared" si="9"/>
        <v>0</v>
      </c>
    </row>
    <row r="306" spans="1:7" ht="15.75" customHeight="1" x14ac:dyDescent="0.15">
      <c r="A306" s="390"/>
      <c r="B306" s="365" t="s">
        <v>440</v>
      </c>
      <c r="C306" s="42" t="s">
        <v>752</v>
      </c>
      <c r="D306" s="70">
        <v>3.99</v>
      </c>
      <c r="E306" s="133">
        <v>3.99</v>
      </c>
      <c r="F306" s="131">
        <f t="shared" si="7"/>
        <v>4.1496000000000004</v>
      </c>
      <c r="G306" s="251">
        <f t="shared" si="9"/>
        <v>0</v>
      </c>
    </row>
    <row r="307" spans="1:7" ht="15.75" customHeight="1" x14ac:dyDescent="0.15">
      <c r="A307" s="390"/>
      <c r="B307" s="366"/>
      <c r="C307" s="42" t="s">
        <v>753</v>
      </c>
      <c r="D307" s="70">
        <v>3.99</v>
      </c>
      <c r="E307" s="252">
        <v>3.99</v>
      </c>
      <c r="F307" s="131">
        <f t="shared" si="7"/>
        <v>4.1496000000000004</v>
      </c>
      <c r="G307" s="251">
        <f t="shared" si="9"/>
        <v>0</v>
      </c>
    </row>
    <row r="308" spans="1:7" ht="15.75" customHeight="1" x14ac:dyDescent="0.15">
      <c r="A308" s="390"/>
      <c r="B308" s="365" t="s">
        <v>443</v>
      </c>
      <c r="C308" s="42" t="s">
        <v>444</v>
      </c>
      <c r="D308" s="70">
        <v>2.79</v>
      </c>
      <c r="E308" s="133">
        <v>2.99</v>
      </c>
      <c r="F308" s="131">
        <f t="shared" si="7"/>
        <v>3.1096000000000004</v>
      </c>
      <c r="G308" s="251">
        <f t="shared" si="9"/>
        <v>7.1684587813620082E-2</v>
      </c>
    </row>
    <row r="309" spans="1:7" ht="15.75" customHeight="1" x14ac:dyDescent="0.15">
      <c r="A309" s="390"/>
      <c r="B309" s="366"/>
      <c r="C309" s="42" t="s">
        <v>445</v>
      </c>
      <c r="D309" s="70">
        <v>2.79</v>
      </c>
      <c r="E309" s="133">
        <v>2.99</v>
      </c>
      <c r="F309" s="131">
        <f t="shared" si="7"/>
        <v>3.1096000000000004</v>
      </c>
      <c r="G309" s="251">
        <f t="shared" si="9"/>
        <v>7.1684587813620082E-2</v>
      </c>
    </row>
    <row r="310" spans="1:7" ht="15.75" customHeight="1" x14ac:dyDescent="0.15">
      <c r="A310" s="390"/>
      <c r="B310" s="365" t="s">
        <v>446</v>
      </c>
      <c r="C310" s="42" t="s">
        <v>281</v>
      </c>
      <c r="D310" s="70">
        <v>5.99</v>
      </c>
      <c r="E310" s="274">
        <v>6.49</v>
      </c>
      <c r="F310" s="131">
        <f t="shared" si="7"/>
        <v>6.7496</v>
      </c>
      <c r="G310" s="251">
        <f t="shared" si="9"/>
        <v>8.3472454090150139E-2</v>
      </c>
    </row>
    <row r="311" spans="1:7" ht="15.75" customHeight="1" x14ac:dyDescent="0.15">
      <c r="A311" s="390"/>
      <c r="B311" s="368"/>
      <c r="C311" s="42" t="s">
        <v>447</v>
      </c>
      <c r="D311" s="70">
        <v>5.99</v>
      </c>
      <c r="E311" s="274">
        <v>6.49</v>
      </c>
      <c r="F311" s="131">
        <f t="shared" si="7"/>
        <v>6.7496</v>
      </c>
      <c r="G311" s="251">
        <f t="shared" si="9"/>
        <v>8.3472454090150139E-2</v>
      </c>
    </row>
    <row r="312" spans="1:7" ht="15.75" customHeight="1" x14ac:dyDescent="0.15">
      <c r="A312" s="390"/>
      <c r="B312" s="368"/>
      <c r="C312" s="42" t="s">
        <v>448</v>
      </c>
      <c r="D312" s="70">
        <v>5.99</v>
      </c>
      <c r="E312" s="274">
        <v>6.49</v>
      </c>
      <c r="F312" s="131">
        <f t="shared" si="7"/>
        <v>6.7496</v>
      </c>
      <c r="G312" s="251">
        <f t="shared" si="9"/>
        <v>8.3472454090150139E-2</v>
      </c>
    </row>
    <row r="313" spans="1:7" ht="15.75" customHeight="1" x14ac:dyDescent="0.15">
      <c r="A313" s="390"/>
      <c r="B313" s="368"/>
      <c r="C313" s="42" t="s">
        <v>449</v>
      </c>
      <c r="D313" s="70">
        <v>5.99</v>
      </c>
      <c r="E313" s="274">
        <v>6.49</v>
      </c>
      <c r="F313" s="131">
        <f t="shared" si="7"/>
        <v>6.7496</v>
      </c>
      <c r="G313" s="251">
        <f t="shared" si="9"/>
        <v>8.3472454090150139E-2</v>
      </c>
    </row>
    <row r="314" spans="1:7" ht="15.75" customHeight="1" x14ac:dyDescent="0.15">
      <c r="A314" s="390"/>
      <c r="B314" s="366"/>
      <c r="C314" s="42" t="s">
        <v>559</v>
      </c>
      <c r="D314" s="70">
        <v>5.99</v>
      </c>
      <c r="E314" s="274">
        <v>6.49</v>
      </c>
      <c r="F314" s="131">
        <f t="shared" si="7"/>
        <v>6.7496</v>
      </c>
      <c r="G314" s="251">
        <f t="shared" si="9"/>
        <v>8.3472454090150139E-2</v>
      </c>
    </row>
    <row r="315" spans="1:7" ht="15.75" customHeight="1" x14ac:dyDescent="0.15">
      <c r="A315" s="390"/>
      <c r="B315" s="365" t="s">
        <v>452</v>
      </c>
      <c r="C315" s="42" t="s">
        <v>281</v>
      </c>
      <c r="D315" s="70">
        <v>3.25</v>
      </c>
      <c r="E315" s="133">
        <v>3.49</v>
      </c>
      <c r="F315" s="131">
        <f t="shared" si="7"/>
        <v>3.6296000000000004</v>
      </c>
      <c r="G315" s="251">
        <f t="shared" si="9"/>
        <v>7.3846153846153895E-2</v>
      </c>
    </row>
    <row r="316" spans="1:7" ht="15.75" customHeight="1" x14ac:dyDescent="0.15">
      <c r="A316" s="390"/>
      <c r="B316" s="368"/>
      <c r="C316" s="42" t="s">
        <v>263</v>
      </c>
      <c r="D316" s="70">
        <v>3.25</v>
      </c>
      <c r="E316" s="133">
        <v>3.49</v>
      </c>
      <c r="F316" s="131">
        <f t="shared" si="7"/>
        <v>3.6296000000000004</v>
      </c>
      <c r="G316" s="251">
        <f t="shared" si="9"/>
        <v>7.3846153846153895E-2</v>
      </c>
    </row>
    <row r="317" spans="1:7" ht="15.75" customHeight="1" x14ac:dyDescent="0.15">
      <c r="A317" s="390"/>
      <c r="B317" s="366"/>
      <c r="C317" s="42" t="s">
        <v>310</v>
      </c>
      <c r="D317" s="70">
        <v>3.25</v>
      </c>
      <c r="E317" s="133">
        <v>3.49</v>
      </c>
      <c r="F317" s="131">
        <f t="shared" si="7"/>
        <v>3.6296000000000004</v>
      </c>
      <c r="G317" s="251">
        <f t="shared" si="9"/>
        <v>7.3846153846153895E-2</v>
      </c>
    </row>
    <row r="318" spans="1:7" ht="15.75" customHeight="1" x14ac:dyDescent="0.15">
      <c r="A318" s="390"/>
      <c r="B318" s="365" t="s">
        <v>454</v>
      </c>
      <c r="C318" s="42" t="s">
        <v>456</v>
      </c>
      <c r="D318" s="70">
        <v>1.29</v>
      </c>
      <c r="E318" s="274">
        <v>1.49</v>
      </c>
      <c r="F318" s="131">
        <f t="shared" si="7"/>
        <v>1.5496000000000001</v>
      </c>
      <c r="G318" s="251">
        <f t="shared" si="9"/>
        <v>0.15503875968992253</v>
      </c>
    </row>
    <row r="319" spans="1:7" ht="15.75" customHeight="1" x14ac:dyDescent="0.15">
      <c r="A319" s="390"/>
      <c r="B319" s="368"/>
      <c r="C319" s="42" t="s">
        <v>457</v>
      </c>
      <c r="D319" s="70">
        <v>1.99</v>
      </c>
      <c r="E319" s="142">
        <v>1.99</v>
      </c>
      <c r="F319" s="131">
        <f t="shared" si="7"/>
        <v>2.0695999999999999</v>
      </c>
      <c r="G319" s="251">
        <f t="shared" si="9"/>
        <v>0</v>
      </c>
    </row>
    <row r="320" spans="1:7" ht="15.75" customHeight="1" x14ac:dyDescent="0.15">
      <c r="A320" s="390"/>
      <c r="B320" s="368"/>
      <c r="C320" s="42" t="s">
        <v>458</v>
      </c>
      <c r="D320" s="70">
        <v>3.49</v>
      </c>
      <c r="E320" s="142">
        <v>3.49</v>
      </c>
      <c r="F320" s="131">
        <f t="shared" si="7"/>
        <v>3.6296000000000004</v>
      </c>
      <c r="G320" s="251">
        <f t="shared" si="9"/>
        <v>0</v>
      </c>
    </row>
    <row r="321" spans="1:7" ht="15.75" customHeight="1" x14ac:dyDescent="0.15">
      <c r="A321" s="391"/>
      <c r="B321" s="378"/>
      <c r="C321" s="78" t="s">
        <v>459</v>
      </c>
      <c r="D321" s="144">
        <v>3.25</v>
      </c>
      <c r="E321" s="155">
        <v>3.25</v>
      </c>
      <c r="F321" s="131">
        <f t="shared" si="7"/>
        <v>3.38</v>
      </c>
      <c r="G321" s="251">
        <f t="shared" si="9"/>
        <v>0</v>
      </c>
    </row>
    <row r="322" spans="1:7" ht="15.75" customHeight="1" x14ac:dyDescent="0.15">
      <c r="A322" s="275"/>
      <c r="B322" s="276"/>
      <c r="C322" s="277"/>
      <c r="D322" s="161"/>
      <c r="E322" s="278"/>
      <c r="F322" s="131"/>
      <c r="G322" s="251"/>
    </row>
    <row r="323" spans="1:7" ht="23.25" customHeight="1" x14ac:dyDescent="0.15">
      <c r="A323" s="167" t="s">
        <v>475</v>
      </c>
      <c r="B323" s="169" t="s">
        <v>476</v>
      </c>
      <c r="C323" s="169" t="s">
        <v>477</v>
      </c>
      <c r="D323" s="162">
        <v>35.99</v>
      </c>
      <c r="E323" s="279">
        <v>37.99</v>
      </c>
      <c r="F323" s="131">
        <f t="shared" ref="F323:F444" si="10">(E323*0.04)+E323</f>
        <v>39.509599999999999</v>
      </c>
      <c r="G323" s="280">
        <v>5.5599999999999997E-2</v>
      </c>
    </row>
    <row r="324" spans="1:7" ht="15.75" customHeight="1" x14ac:dyDescent="0.15">
      <c r="A324" s="172" t="s">
        <v>478</v>
      </c>
      <c r="B324" s="174" t="s">
        <v>476</v>
      </c>
      <c r="C324" s="174" t="s">
        <v>479</v>
      </c>
      <c r="D324" s="163">
        <v>49.99</v>
      </c>
      <c r="E324" s="281">
        <v>54.99</v>
      </c>
      <c r="F324" s="131">
        <f t="shared" si="10"/>
        <v>57.189599999999999</v>
      </c>
      <c r="G324" s="280">
        <v>0.1</v>
      </c>
    </row>
    <row r="325" spans="1:7" ht="15.75" customHeight="1" x14ac:dyDescent="0.15">
      <c r="A325" s="172" t="s">
        <v>480</v>
      </c>
      <c r="B325" s="174" t="s">
        <v>476</v>
      </c>
      <c r="C325" s="174" t="s">
        <v>481</v>
      </c>
      <c r="D325" s="163">
        <v>59.99</v>
      </c>
      <c r="E325" s="281">
        <v>64.989999999999995</v>
      </c>
      <c r="F325" s="131">
        <f t="shared" si="10"/>
        <v>67.58959999999999</v>
      </c>
      <c r="G325" s="280">
        <v>8.3299999999999999E-2</v>
      </c>
    </row>
    <row r="326" spans="1:7" ht="15.75" customHeight="1" x14ac:dyDescent="0.15">
      <c r="A326" s="172" t="s">
        <v>482</v>
      </c>
      <c r="B326" s="174" t="s">
        <v>476</v>
      </c>
      <c r="C326" s="174" t="s">
        <v>483</v>
      </c>
      <c r="D326" s="163">
        <v>129.99</v>
      </c>
      <c r="E326" s="281">
        <v>129.99</v>
      </c>
      <c r="F326" s="131">
        <f t="shared" si="10"/>
        <v>135.18960000000001</v>
      </c>
      <c r="G326" s="280">
        <v>0</v>
      </c>
    </row>
    <row r="327" spans="1:7" ht="15.75" customHeight="1" x14ac:dyDescent="0.15">
      <c r="A327" s="172" t="s">
        <v>484</v>
      </c>
      <c r="B327" s="174" t="s">
        <v>476</v>
      </c>
      <c r="C327" s="174" t="s">
        <v>485</v>
      </c>
      <c r="D327" s="163">
        <v>199.99</v>
      </c>
      <c r="E327" s="281">
        <v>209.99</v>
      </c>
      <c r="F327" s="131">
        <f t="shared" si="10"/>
        <v>218.3896</v>
      </c>
      <c r="G327" s="280">
        <v>0.05</v>
      </c>
    </row>
    <row r="328" spans="1:7" ht="15.75" customHeight="1" x14ac:dyDescent="0.15">
      <c r="A328" s="172" t="s">
        <v>486</v>
      </c>
      <c r="B328" s="174" t="s">
        <v>476</v>
      </c>
      <c r="C328" s="174" t="s">
        <v>487</v>
      </c>
      <c r="D328" s="163">
        <v>189.99</v>
      </c>
      <c r="E328" s="281">
        <v>189.99</v>
      </c>
      <c r="F328" s="131">
        <f t="shared" si="10"/>
        <v>197.58960000000002</v>
      </c>
      <c r="G328" s="280">
        <v>0</v>
      </c>
    </row>
    <row r="329" spans="1:7" ht="15.75" customHeight="1" x14ac:dyDescent="0.15">
      <c r="A329" s="172" t="s">
        <v>488</v>
      </c>
      <c r="B329" s="174" t="s">
        <v>476</v>
      </c>
      <c r="C329" s="174" t="s">
        <v>489</v>
      </c>
      <c r="D329" s="163">
        <v>259.99</v>
      </c>
      <c r="E329" s="281">
        <v>259.99</v>
      </c>
      <c r="F329" s="131">
        <f t="shared" si="10"/>
        <v>270.38960000000003</v>
      </c>
      <c r="G329" s="280">
        <v>0</v>
      </c>
    </row>
    <row r="330" spans="1:7" ht="15.75" customHeight="1" x14ac:dyDescent="0.15">
      <c r="A330" s="172" t="s">
        <v>490</v>
      </c>
      <c r="B330" s="174" t="s">
        <v>476</v>
      </c>
      <c r="C330" s="174" t="s">
        <v>491</v>
      </c>
      <c r="D330" s="163">
        <v>344.99</v>
      </c>
      <c r="E330" s="281">
        <v>344.99</v>
      </c>
      <c r="F330" s="131">
        <f t="shared" si="10"/>
        <v>358.78960000000001</v>
      </c>
      <c r="G330" s="280">
        <v>0</v>
      </c>
    </row>
    <row r="331" spans="1:7" ht="15.75" customHeight="1" x14ac:dyDescent="0.15">
      <c r="A331" s="172" t="s">
        <v>492</v>
      </c>
      <c r="B331" s="174" t="s">
        <v>493</v>
      </c>
      <c r="C331" s="174" t="s">
        <v>494</v>
      </c>
      <c r="D331" s="163">
        <v>38.99</v>
      </c>
      <c r="E331" s="281">
        <v>39.99</v>
      </c>
      <c r="F331" s="131">
        <f t="shared" si="10"/>
        <v>41.589600000000004</v>
      </c>
      <c r="G331" s="280">
        <v>2.5600000000000001E-2</v>
      </c>
    </row>
    <row r="332" spans="1:7" ht="15.75" customHeight="1" x14ac:dyDescent="0.15">
      <c r="A332" s="172" t="s">
        <v>495</v>
      </c>
      <c r="B332" s="174" t="s">
        <v>493</v>
      </c>
      <c r="C332" s="174" t="s">
        <v>496</v>
      </c>
      <c r="D332" s="163">
        <v>75.989999999999995</v>
      </c>
      <c r="E332" s="281">
        <v>77.989999999999995</v>
      </c>
      <c r="F332" s="131">
        <f t="shared" si="10"/>
        <v>81.1096</v>
      </c>
      <c r="G332" s="280">
        <v>2.63E-2</v>
      </c>
    </row>
    <row r="333" spans="1:7" ht="15.75" customHeight="1" x14ac:dyDescent="0.15">
      <c r="A333" s="172" t="s">
        <v>497</v>
      </c>
      <c r="B333" s="174" t="s">
        <v>493</v>
      </c>
      <c r="C333" s="174" t="s">
        <v>498</v>
      </c>
      <c r="D333" s="163">
        <v>124.99</v>
      </c>
      <c r="E333" s="281">
        <v>129.99</v>
      </c>
      <c r="F333" s="131">
        <f t="shared" si="10"/>
        <v>135.18960000000001</v>
      </c>
      <c r="G333" s="280">
        <v>0.04</v>
      </c>
    </row>
    <row r="334" spans="1:7" ht="15.75" customHeight="1" x14ac:dyDescent="0.15">
      <c r="A334" s="172" t="s">
        <v>499</v>
      </c>
      <c r="B334" s="174" t="s">
        <v>493</v>
      </c>
      <c r="C334" s="174" t="s">
        <v>500</v>
      </c>
      <c r="D334" s="163">
        <v>124.99</v>
      </c>
      <c r="E334" s="281">
        <v>129.99</v>
      </c>
      <c r="F334" s="131">
        <f t="shared" si="10"/>
        <v>135.18960000000001</v>
      </c>
      <c r="G334" s="280">
        <v>0.04</v>
      </c>
    </row>
    <row r="335" spans="1:7" ht="15.75" customHeight="1" x14ac:dyDescent="0.15">
      <c r="A335" s="422" t="s">
        <v>501</v>
      </c>
      <c r="B335" s="174" t="s">
        <v>502</v>
      </c>
      <c r="C335" s="174" t="s">
        <v>503</v>
      </c>
      <c r="D335" s="163">
        <v>11.99</v>
      </c>
      <c r="E335" s="281">
        <v>12.99</v>
      </c>
      <c r="F335" s="131">
        <f t="shared" si="10"/>
        <v>13.509600000000001</v>
      </c>
      <c r="G335" s="280">
        <v>8.3400000000000002E-2</v>
      </c>
    </row>
    <row r="336" spans="1:7" ht="15.75" customHeight="1" x14ac:dyDescent="0.15">
      <c r="A336" s="387"/>
      <c r="B336" s="174" t="s">
        <v>502</v>
      </c>
      <c r="C336" s="174" t="s">
        <v>504</v>
      </c>
      <c r="D336" s="163">
        <v>10.99</v>
      </c>
      <c r="E336" s="281">
        <v>11.99</v>
      </c>
      <c r="F336" s="131">
        <f t="shared" si="10"/>
        <v>12.4696</v>
      </c>
      <c r="G336" s="280">
        <v>9.0999999999999998E-2</v>
      </c>
    </row>
    <row r="337" spans="1:7" ht="15.75" customHeight="1" x14ac:dyDescent="0.15">
      <c r="A337" s="387"/>
      <c r="B337" s="174" t="s">
        <v>502</v>
      </c>
      <c r="C337" s="174" t="s">
        <v>505</v>
      </c>
      <c r="D337" s="163">
        <v>10.99</v>
      </c>
      <c r="E337" s="281">
        <v>11.99</v>
      </c>
      <c r="F337" s="131">
        <f t="shared" si="10"/>
        <v>12.4696</v>
      </c>
      <c r="G337" s="280">
        <v>9.0999999999999998E-2</v>
      </c>
    </row>
    <row r="338" spans="1:7" ht="15.75" customHeight="1" x14ac:dyDescent="0.15">
      <c r="A338" s="387"/>
      <c r="B338" s="174" t="s">
        <v>502</v>
      </c>
      <c r="C338" s="174" t="s">
        <v>506</v>
      </c>
      <c r="D338" s="163">
        <v>11.9</v>
      </c>
      <c r="E338" s="281">
        <v>12.49</v>
      </c>
      <c r="F338" s="131">
        <f t="shared" si="10"/>
        <v>12.989599999999999</v>
      </c>
      <c r="G338" s="280">
        <v>4.9599999999999998E-2</v>
      </c>
    </row>
    <row r="339" spans="1:7" ht="15.75" customHeight="1" x14ac:dyDescent="0.15">
      <c r="A339" s="387"/>
      <c r="B339" s="174" t="s">
        <v>502</v>
      </c>
      <c r="C339" s="177" t="s">
        <v>507</v>
      </c>
      <c r="D339" s="176">
        <v>11.9</v>
      </c>
      <c r="E339" s="282">
        <v>12.49</v>
      </c>
      <c r="F339" s="131">
        <f t="shared" si="10"/>
        <v>12.989599999999999</v>
      </c>
      <c r="G339" s="280">
        <v>4.9599999999999998E-2</v>
      </c>
    </row>
    <row r="340" spans="1:7" ht="15.75" customHeight="1" x14ac:dyDescent="0.15">
      <c r="A340" s="387"/>
      <c r="B340" s="174" t="s">
        <v>502</v>
      </c>
      <c r="C340" s="177" t="s">
        <v>17</v>
      </c>
      <c r="D340" s="176">
        <v>11.9</v>
      </c>
      <c r="E340" s="282">
        <v>12.49</v>
      </c>
      <c r="F340" s="131">
        <f t="shared" si="10"/>
        <v>12.989599999999999</v>
      </c>
      <c r="G340" s="280">
        <v>4.9599999999999998E-2</v>
      </c>
    </row>
    <row r="341" spans="1:7" ht="15.75" customHeight="1" x14ac:dyDescent="0.15">
      <c r="A341" s="387"/>
      <c r="B341" s="174" t="s">
        <v>502</v>
      </c>
      <c r="C341" s="177" t="s">
        <v>10</v>
      </c>
      <c r="D341" s="176">
        <v>11.9</v>
      </c>
      <c r="E341" s="282">
        <v>12.49</v>
      </c>
      <c r="F341" s="131">
        <f t="shared" si="10"/>
        <v>12.989599999999999</v>
      </c>
      <c r="G341" s="280">
        <v>4.9599999999999998E-2</v>
      </c>
    </row>
    <row r="342" spans="1:7" ht="15.75" customHeight="1" x14ac:dyDescent="0.15">
      <c r="A342" s="387"/>
      <c r="B342" s="174" t="s">
        <v>502</v>
      </c>
      <c r="C342" s="174" t="s">
        <v>508</v>
      </c>
      <c r="D342" s="163">
        <v>10.99</v>
      </c>
      <c r="E342" s="281">
        <v>11.99</v>
      </c>
      <c r="F342" s="131">
        <f t="shared" si="10"/>
        <v>12.4696</v>
      </c>
      <c r="G342" s="280">
        <v>9.0999999999999998E-2</v>
      </c>
    </row>
    <row r="343" spans="1:7" ht="15.75" customHeight="1" x14ac:dyDescent="0.15">
      <c r="A343" s="387"/>
      <c r="B343" s="174" t="s">
        <v>502</v>
      </c>
      <c r="C343" s="174" t="s">
        <v>510</v>
      </c>
      <c r="D343" s="163">
        <v>11.9</v>
      </c>
      <c r="E343" s="281">
        <v>12.49</v>
      </c>
      <c r="F343" s="131">
        <f t="shared" si="10"/>
        <v>12.989599999999999</v>
      </c>
      <c r="G343" s="280">
        <v>4.9599999999999998E-2</v>
      </c>
    </row>
    <row r="344" spans="1:7" ht="15.75" customHeight="1" x14ac:dyDescent="0.15">
      <c r="A344" s="387"/>
      <c r="B344" s="174" t="s">
        <v>502</v>
      </c>
      <c r="C344" s="174" t="s">
        <v>511</v>
      </c>
      <c r="D344" s="163">
        <v>10.99</v>
      </c>
      <c r="E344" s="281">
        <v>11.99</v>
      </c>
      <c r="F344" s="131">
        <f t="shared" si="10"/>
        <v>12.4696</v>
      </c>
      <c r="G344" s="280">
        <v>9.0999999999999998E-2</v>
      </c>
    </row>
    <row r="345" spans="1:7" ht="15.75" customHeight="1" x14ac:dyDescent="0.15">
      <c r="A345" s="387"/>
      <c r="B345" s="174" t="s">
        <v>502</v>
      </c>
      <c r="C345" s="174" t="s">
        <v>512</v>
      </c>
      <c r="D345" s="163">
        <v>11.9</v>
      </c>
      <c r="E345" s="281">
        <v>12.49</v>
      </c>
      <c r="F345" s="131">
        <f t="shared" si="10"/>
        <v>12.989599999999999</v>
      </c>
      <c r="G345" s="280">
        <v>4.9599999999999998E-2</v>
      </c>
    </row>
    <row r="346" spans="1:7" ht="15.75" customHeight="1" x14ac:dyDescent="0.15">
      <c r="A346" s="387"/>
      <c r="B346" s="174" t="s">
        <v>502</v>
      </c>
      <c r="C346" s="174" t="s">
        <v>514</v>
      </c>
      <c r="D346" s="163">
        <v>16.989999999999998</v>
      </c>
      <c r="E346" s="281">
        <v>18.489999999999998</v>
      </c>
      <c r="F346" s="131">
        <f t="shared" si="10"/>
        <v>19.229599999999998</v>
      </c>
      <c r="G346" s="280">
        <v>8.8300000000000003E-2</v>
      </c>
    </row>
    <row r="347" spans="1:7" ht="15.75" customHeight="1" x14ac:dyDescent="0.15">
      <c r="A347" s="387"/>
      <c r="B347" s="174" t="s">
        <v>502</v>
      </c>
      <c r="C347" s="174" t="s">
        <v>515</v>
      </c>
      <c r="D347" s="163">
        <v>16</v>
      </c>
      <c r="E347" s="281">
        <v>17.489999999999998</v>
      </c>
      <c r="F347" s="131">
        <f t="shared" si="10"/>
        <v>18.189599999999999</v>
      </c>
      <c r="G347" s="280">
        <v>9.3100000000000002E-2</v>
      </c>
    </row>
    <row r="348" spans="1:7" ht="15.75" customHeight="1" x14ac:dyDescent="0.15">
      <c r="A348" s="387"/>
      <c r="B348" s="174" t="s">
        <v>502</v>
      </c>
      <c r="C348" s="174" t="s">
        <v>758</v>
      </c>
      <c r="D348" s="163">
        <v>19.989999999999998</v>
      </c>
      <c r="E348" s="281">
        <v>19.989999999999998</v>
      </c>
      <c r="F348" s="131">
        <f t="shared" si="10"/>
        <v>20.7896</v>
      </c>
      <c r="G348" s="280">
        <v>0</v>
      </c>
    </row>
    <row r="349" spans="1:7" ht="15.75" customHeight="1" x14ac:dyDescent="0.15">
      <c r="A349" s="387"/>
      <c r="B349" s="174" t="s">
        <v>502</v>
      </c>
      <c r="C349" s="174" t="s">
        <v>759</v>
      </c>
      <c r="D349" s="163">
        <v>19.989999999999998</v>
      </c>
      <c r="E349" s="281">
        <v>19.989999999999998</v>
      </c>
      <c r="F349" s="131">
        <f t="shared" si="10"/>
        <v>20.7896</v>
      </c>
      <c r="G349" s="280">
        <v>0</v>
      </c>
    </row>
    <row r="350" spans="1:7" ht="15.75" customHeight="1" x14ac:dyDescent="0.15">
      <c r="A350" s="387"/>
      <c r="B350" s="174" t="s">
        <v>519</v>
      </c>
      <c r="C350" s="174" t="s">
        <v>79</v>
      </c>
      <c r="D350" s="163">
        <v>9.99</v>
      </c>
      <c r="E350" s="281">
        <v>10.49</v>
      </c>
      <c r="F350" s="131">
        <f t="shared" si="10"/>
        <v>10.909600000000001</v>
      </c>
      <c r="G350" s="280">
        <v>5.0099999999999999E-2</v>
      </c>
    </row>
    <row r="351" spans="1:7" ht="15.75" customHeight="1" x14ac:dyDescent="0.15">
      <c r="A351" s="387"/>
      <c r="B351" s="174" t="s">
        <v>519</v>
      </c>
      <c r="C351" s="174" t="s">
        <v>522</v>
      </c>
      <c r="D351" s="180">
        <v>14.99</v>
      </c>
      <c r="E351" s="180">
        <v>15.49</v>
      </c>
      <c r="F351" s="131">
        <f t="shared" si="10"/>
        <v>16.1096</v>
      </c>
      <c r="G351" s="280">
        <v>3.3399999999999999E-2</v>
      </c>
    </row>
    <row r="352" spans="1:7" ht="15.75" customHeight="1" x14ac:dyDescent="0.15">
      <c r="A352" s="387"/>
      <c r="B352" s="174" t="s">
        <v>27</v>
      </c>
      <c r="C352" s="174" t="s">
        <v>18</v>
      </c>
      <c r="D352" s="180">
        <v>16.989999999999998</v>
      </c>
      <c r="E352" s="180">
        <v>17.989999999999998</v>
      </c>
      <c r="F352" s="131">
        <f t="shared" si="10"/>
        <v>18.709599999999998</v>
      </c>
      <c r="G352" s="280">
        <v>5.8900000000000001E-2</v>
      </c>
    </row>
    <row r="353" spans="1:7" ht="15.75" customHeight="1" x14ac:dyDescent="0.15">
      <c r="A353" s="387"/>
      <c r="B353" s="174" t="s">
        <v>27</v>
      </c>
      <c r="C353" s="174" t="s">
        <v>57</v>
      </c>
      <c r="D353" s="180">
        <v>16.989999999999998</v>
      </c>
      <c r="E353" s="180">
        <v>17.989999999999998</v>
      </c>
      <c r="F353" s="131">
        <f t="shared" si="10"/>
        <v>18.709599999999998</v>
      </c>
      <c r="G353" s="280">
        <v>5.8900000000000001E-2</v>
      </c>
    </row>
    <row r="354" spans="1:7" ht="15.75" customHeight="1" x14ac:dyDescent="0.15">
      <c r="A354" s="387"/>
      <c r="B354" s="174" t="s">
        <v>27</v>
      </c>
      <c r="C354" s="174" t="s">
        <v>8</v>
      </c>
      <c r="D354" s="180">
        <v>16.989999999999998</v>
      </c>
      <c r="E354" s="180">
        <v>17.989999999999998</v>
      </c>
      <c r="F354" s="131">
        <f t="shared" si="10"/>
        <v>18.709599999999998</v>
      </c>
      <c r="G354" s="280">
        <v>5.8900000000000001E-2</v>
      </c>
    </row>
    <row r="355" spans="1:7" ht="15.75" customHeight="1" x14ac:dyDescent="0.15">
      <c r="A355" s="387"/>
      <c r="B355" s="174" t="s">
        <v>524</v>
      </c>
      <c r="C355" s="174" t="s">
        <v>18</v>
      </c>
      <c r="D355" s="180">
        <v>24.99</v>
      </c>
      <c r="E355" s="180">
        <v>24.99</v>
      </c>
      <c r="F355" s="131">
        <f t="shared" si="10"/>
        <v>25.989599999999999</v>
      </c>
      <c r="G355" s="280">
        <v>0</v>
      </c>
    </row>
    <row r="356" spans="1:7" ht="15.75" customHeight="1" x14ac:dyDescent="0.15">
      <c r="A356" s="387"/>
      <c r="B356" s="174" t="s">
        <v>524</v>
      </c>
      <c r="C356" s="174" t="s">
        <v>37</v>
      </c>
      <c r="D356" s="180">
        <v>24.99</v>
      </c>
      <c r="E356" s="180">
        <v>24.99</v>
      </c>
      <c r="F356" s="131">
        <f t="shared" si="10"/>
        <v>25.989599999999999</v>
      </c>
      <c r="G356" s="280">
        <v>0</v>
      </c>
    </row>
    <row r="357" spans="1:7" ht="15.75" customHeight="1" x14ac:dyDescent="0.15">
      <c r="A357" s="387"/>
      <c r="B357" s="174" t="s">
        <v>525</v>
      </c>
      <c r="C357" s="174" t="s">
        <v>760</v>
      </c>
      <c r="D357" s="180">
        <v>18.989999999999998</v>
      </c>
      <c r="E357" s="180">
        <v>19.989999999999998</v>
      </c>
      <c r="F357" s="131">
        <f t="shared" si="10"/>
        <v>20.7896</v>
      </c>
      <c r="G357" s="280">
        <v>5.2699999999999997E-2</v>
      </c>
    </row>
    <row r="358" spans="1:7" ht="15.75" customHeight="1" x14ac:dyDescent="0.15">
      <c r="A358" s="387"/>
      <c r="B358" s="174" t="s">
        <v>525</v>
      </c>
      <c r="C358" s="174" t="s">
        <v>20</v>
      </c>
      <c r="D358" s="180">
        <v>18.989999999999998</v>
      </c>
      <c r="E358" s="180">
        <v>19.989999999999998</v>
      </c>
      <c r="F358" s="131">
        <f t="shared" si="10"/>
        <v>20.7896</v>
      </c>
      <c r="G358" s="280">
        <v>5.2699999999999997E-2</v>
      </c>
    </row>
    <row r="359" spans="1:7" ht="15.75" customHeight="1" x14ac:dyDescent="0.15">
      <c r="A359" s="387"/>
      <c r="B359" s="174" t="s">
        <v>526</v>
      </c>
      <c r="C359" s="174" t="s">
        <v>527</v>
      </c>
      <c r="D359" s="180">
        <v>16.989999999999998</v>
      </c>
      <c r="E359" s="180">
        <v>17.989999999999998</v>
      </c>
      <c r="F359" s="131">
        <f t="shared" si="10"/>
        <v>18.709599999999998</v>
      </c>
      <c r="G359" s="280">
        <v>5.2699999999999997E-2</v>
      </c>
    </row>
    <row r="360" spans="1:7" ht="15.75" customHeight="1" x14ac:dyDescent="0.15">
      <c r="A360" s="387"/>
      <c r="B360" s="174" t="s">
        <v>528</v>
      </c>
      <c r="C360" s="174" t="s">
        <v>529</v>
      </c>
      <c r="D360" s="180">
        <v>11.99</v>
      </c>
      <c r="E360" s="180">
        <v>11.99</v>
      </c>
      <c r="F360" s="131">
        <f t="shared" si="10"/>
        <v>12.4696</v>
      </c>
      <c r="G360" s="280">
        <v>5.2699999999999997E-2</v>
      </c>
    </row>
    <row r="361" spans="1:7" ht="15.75" customHeight="1" x14ac:dyDescent="0.15">
      <c r="A361" s="387"/>
      <c r="B361" s="174" t="s">
        <v>528</v>
      </c>
      <c r="C361" s="174" t="s">
        <v>530</v>
      </c>
      <c r="D361" s="180">
        <v>15.99</v>
      </c>
      <c r="E361" s="180">
        <v>16.489999999999998</v>
      </c>
      <c r="F361" s="131">
        <f t="shared" si="10"/>
        <v>17.1496</v>
      </c>
      <c r="G361" s="280">
        <v>3.1300000000000001E-2</v>
      </c>
    </row>
    <row r="362" spans="1:7" ht="15.75" customHeight="1" x14ac:dyDescent="0.15">
      <c r="A362" s="387"/>
      <c r="B362" s="174" t="s">
        <v>531</v>
      </c>
      <c r="C362" s="174" t="s">
        <v>36</v>
      </c>
      <c r="D362" s="180">
        <v>18.989999999999998</v>
      </c>
      <c r="E362" s="180">
        <v>19.989999999999998</v>
      </c>
      <c r="F362" s="131">
        <f t="shared" si="10"/>
        <v>20.7896</v>
      </c>
      <c r="G362" s="280">
        <v>5.2699999999999997E-2</v>
      </c>
    </row>
    <row r="363" spans="1:7" ht="15.75" customHeight="1" x14ac:dyDescent="0.15">
      <c r="A363" s="387"/>
      <c r="B363" s="174" t="s">
        <v>531</v>
      </c>
      <c r="C363" s="174" t="s">
        <v>10</v>
      </c>
      <c r="D363" s="180">
        <v>18.989999999999998</v>
      </c>
      <c r="E363" s="180">
        <v>19.989999999999998</v>
      </c>
      <c r="F363" s="131">
        <f t="shared" si="10"/>
        <v>20.7896</v>
      </c>
      <c r="G363" s="280">
        <v>5.2699999999999997E-2</v>
      </c>
    </row>
    <row r="364" spans="1:7" ht="15.75" customHeight="1" x14ac:dyDescent="0.15">
      <c r="A364" s="387"/>
      <c r="B364" s="174" t="s">
        <v>532</v>
      </c>
      <c r="C364" s="174" t="s">
        <v>194</v>
      </c>
      <c r="D364" s="180">
        <v>28.99</v>
      </c>
      <c r="E364" s="180">
        <v>29.99</v>
      </c>
      <c r="F364" s="131">
        <f t="shared" si="10"/>
        <v>31.189599999999999</v>
      </c>
      <c r="G364" s="280">
        <v>3.4500000000000003E-2</v>
      </c>
    </row>
    <row r="365" spans="1:7" ht="15.75" customHeight="1" x14ac:dyDescent="0.15">
      <c r="A365" s="387"/>
      <c r="B365" s="174" t="s">
        <v>532</v>
      </c>
      <c r="C365" s="174" t="s">
        <v>159</v>
      </c>
      <c r="D365" s="180">
        <v>28.99</v>
      </c>
      <c r="E365" s="180">
        <v>29.99</v>
      </c>
      <c r="F365" s="131">
        <f t="shared" si="10"/>
        <v>31.189599999999999</v>
      </c>
      <c r="G365" s="280">
        <v>3.4500000000000003E-2</v>
      </c>
    </row>
    <row r="366" spans="1:7" ht="15.75" customHeight="1" x14ac:dyDescent="0.15">
      <c r="A366" s="387"/>
      <c r="B366" s="174" t="s">
        <v>532</v>
      </c>
      <c r="C366" s="174" t="s">
        <v>534</v>
      </c>
      <c r="D366" s="180">
        <v>12.99</v>
      </c>
      <c r="E366" s="180">
        <v>13.49</v>
      </c>
      <c r="F366" s="131">
        <f t="shared" si="10"/>
        <v>14.0296</v>
      </c>
      <c r="G366" s="280">
        <v>3.85E-2</v>
      </c>
    </row>
    <row r="367" spans="1:7" ht="15.75" customHeight="1" x14ac:dyDescent="0.15">
      <c r="A367" s="387"/>
      <c r="B367" s="174" t="s">
        <v>532</v>
      </c>
      <c r="C367" s="174" t="s">
        <v>535</v>
      </c>
      <c r="D367" s="180">
        <v>10.99</v>
      </c>
      <c r="E367" s="180">
        <v>10.99</v>
      </c>
      <c r="F367" s="131">
        <f t="shared" si="10"/>
        <v>11.429600000000001</v>
      </c>
      <c r="G367" s="280">
        <v>0</v>
      </c>
    </row>
    <row r="368" spans="1:7" ht="15.75" customHeight="1" x14ac:dyDescent="0.15">
      <c r="A368" s="387"/>
      <c r="B368" s="174" t="s">
        <v>532</v>
      </c>
      <c r="C368" s="174" t="s">
        <v>536</v>
      </c>
      <c r="D368" s="180">
        <v>16</v>
      </c>
      <c r="E368" s="180">
        <v>16.989999999999998</v>
      </c>
      <c r="F368" s="131">
        <f t="shared" si="10"/>
        <v>17.669599999999999</v>
      </c>
      <c r="G368" s="280">
        <v>6.1899999999999997E-2</v>
      </c>
    </row>
    <row r="369" spans="1:7" ht="15.75" customHeight="1" x14ac:dyDescent="0.15">
      <c r="A369" s="387"/>
      <c r="B369" s="174" t="s">
        <v>532</v>
      </c>
      <c r="C369" s="174" t="s">
        <v>537</v>
      </c>
      <c r="D369" s="180">
        <v>14.99</v>
      </c>
      <c r="E369" s="180">
        <v>14.99</v>
      </c>
      <c r="F369" s="131">
        <f t="shared" si="10"/>
        <v>15.589600000000001</v>
      </c>
      <c r="G369" s="280">
        <v>0</v>
      </c>
    </row>
    <row r="370" spans="1:7" ht="15.75" customHeight="1" x14ac:dyDescent="0.15">
      <c r="A370" s="387"/>
      <c r="B370" s="174" t="s">
        <v>532</v>
      </c>
      <c r="C370" s="174" t="s">
        <v>538</v>
      </c>
      <c r="D370" s="180">
        <v>28.99</v>
      </c>
      <c r="E370" s="180">
        <v>29.99</v>
      </c>
      <c r="F370" s="131">
        <f t="shared" si="10"/>
        <v>31.189599999999999</v>
      </c>
      <c r="G370" s="280">
        <v>3.4500000000000003E-2</v>
      </c>
    </row>
    <row r="371" spans="1:7" ht="15.75" customHeight="1" x14ac:dyDescent="0.15">
      <c r="A371" s="387"/>
      <c r="B371" s="174" t="s">
        <v>532</v>
      </c>
      <c r="C371" s="174" t="s">
        <v>180</v>
      </c>
      <c r="D371" s="180">
        <v>17.5</v>
      </c>
      <c r="E371" s="180">
        <v>18.989999999999998</v>
      </c>
      <c r="F371" s="131">
        <f t="shared" si="10"/>
        <v>19.749599999999997</v>
      </c>
      <c r="G371" s="280">
        <v>8.5099999999999995E-2</v>
      </c>
    </row>
    <row r="372" spans="1:7" ht="15.75" customHeight="1" x14ac:dyDescent="0.15">
      <c r="A372" s="387"/>
      <c r="B372" s="174" t="s">
        <v>532</v>
      </c>
      <c r="C372" s="174" t="s">
        <v>540</v>
      </c>
      <c r="D372" s="180">
        <v>17.5</v>
      </c>
      <c r="E372" s="180">
        <v>18.989999999999998</v>
      </c>
      <c r="F372" s="131">
        <f t="shared" si="10"/>
        <v>19.749599999999997</v>
      </c>
      <c r="G372" s="280">
        <v>8.5099999999999995E-2</v>
      </c>
    </row>
    <row r="373" spans="1:7" ht="15.75" customHeight="1" x14ac:dyDescent="0.15">
      <c r="A373" s="387"/>
      <c r="B373" s="174" t="s">
        <v>532</v>
      </c>
      <c r="C373" s="174" t="s">
        <v>761</v>
      </c>
      <c r="D373" s="180">
        <v>28.99</v>
      </c>
      <c r="E373" s="180">
        <v>29.99</v>
      </c>
      <c r="F373" s="131">
        <f t="shared" si="10"/>
        <v>31.189599999999999</v>
      </c>
      <c r="G373" s="280">
        <v>3.4500000000000003E-2</v>
      </c>
    </row>
    <row r="374" spans="1:7" ht="15.75" customHeight="1" x14ac:dyDescent="0.15">
      <c r="A374" s="387"/>
      <c r="B374" s="174" t="s">
        <v>532</v>
      </c>
      <c r="C374" s="174" t="s">
        <v>542</v>
      </c>
      <c r="D374" s="180">
        <v>19.989999999999998</v>
      </c>
      <c r="E374" s="180">
        <v>24.99</v>
      </c>
      <c r="F374" s="131">
        <f t="shared" si="10"/>
        <v>25.989599999999999</v>
      </c>
      <c r="G374" s="280">
        <v>0.25009999999999999</v>
      </c>
    </row>
    <row r="375" spans="1:7" ht="15.75" customHeight="1" x14ac:dyDescent="0.15">
      <c r="A375" s="387"/>
      <c r="B375" s="174" t="s">
        <v>532</v>
      </c>
      <c r="C375" s="174" t="s">
        <v>543</v>
      </c>
      <c r="D375" s="180">
        <v>19.989999999999998</v>
      </c>
      <c r="E375" s="180">
        <v>24.99</v>
      </c>
      <c r="F375" s="131">
        <f t="shared" si="10"/>
        <v>25.989599999999999</v>
      </c>
      <c r="G375" s="280">
        <v>0.25009999999999999</v>
      </c>
    </row>
    <row r="376" spans="1:7" ht="15.75" customHeight="1" x14ac:dyDescent="0.15">
      <c r="A376" s="387"/>
      <c r="B376" s="174" t="s">
        <v>532</v>
      </c>
      <c r="C376" s="174" t="s">
        <v>544</v>
      </c>
      <c r="D376" s="180">
        <v>28.99</v>
      </c>
      <c r="E376" s="180">
        <v>29.99</v>
      </c>
      <c r="F376" s="131">
        <f t="shared" si="10"/>
        <v>31.189599999999999</v>
      </c>
      <c r="G376" s="280">
        <v>3.4500000000000003E-2</v>
      </c>
    </row>
    <row r="377" spans="1:7" ht="15.75" customHeight="1" x14ac:dyDescent="0.15">
      <c r="A377" s="387"/>
      <c r="B377" s="174" t="s">
        <v>532</v>
      </c>
      <c r="C377" s="174" t="s">
        <v>533</v>
      </c>
      <c r="D377" s="180">
        <v>28.99</v>
      </c>
      <c r="E377" s="180">
        <v>29.99</v>
      </c>
      <c r="F377" s="131">
        <f t="shared" si="10"/>
        <v>31.189599999999999</v>
      </c>
      <c r="G377" s="280">
        <v>3.4500000000000003E-2</v>
      </c>
    </row>
    <row r="378" spans="1:7" ht="15.75" customHeight="1" x14ac:dyDescent="0.15">
      <c r="A378" s="387"/>
      <c r="B378" s="174" t="s">
        <v>545</v>
      </c>
      <c r="C378" s="174" t="s">
        <v>58</v>
      </c>
      <c r="D378" s="180">
        <v>23.99</v>
      </c>
      <c r="E378" s="180">
        <v>24.99</v>
      </c>
      <c r="F378" s="131">
        <f t="shared" si="10"/>
        <v>25.989599999999999</v>
      </c>
      <c r="G378" s="280">
        <v>4.1700000000000001E-2</v>
      </c>
    </row>
    <row r="379" spans="1:7" ht="15.75" customHeight="1" x14ac:dyDescent="0.15">
      <c r="A379" s="387"/>
      <c r="B379" s="174" t="s">
        <v>546</v>
      </c>
      <c r="C379" s="174" t="s">
        <v>547</v>
      </c>
      <c r="D379" s="180">
        <v>10.99</v>
      </c>
      <c r="E379" s="180">
        <v>10.99</v>
      </c>
      <c r="F379" s="131">
        <f t="shared" si="10"/>
        <v>11.429600000000001</v>
      </c>
      <c r="G379" s="280">
        <v>0</v>
      </c>
    </row>
    <row r="380" spans="1:7" ht="15.75" customHeight="1" x14ac:dyDescent="0.15">
      <c r="A380" s="387"/>
      <c r="B380" s="174" t="s">
        <v>546</v>
      </c>
      <c r="C380" s="174" t="s">
        <v>762</v>
      </c>
      <c r="D380" s="180">
        <v>17</v>
      </c>
      <c r="E380" s="180">
        <v>17</v>
      </c>
      <c r="F380" s="131">
        <f t="shared" si="10"/>
        <v>17.68</v>
      </c>
      <c r="G380" s="280">
        <v>0</v>
      </c>
    </row>
    <row r="381" spans="1:7" ht="15.75" customHeight="1" x14ac:dyDescent="0.15">
      <c r="A381" s="387"/>
      <c r="B381" s="174" t="s">
        <v>546</v>
      </c>
      <c r="C381" s="174" t="s">
        <v>549</v>
      </c>
      <c r="D381" s="180">
        <v>23.99</v>
      </c>
      <c r="E381" s="180">
        <v>25.99</v>
      </c>
      <c r="F381" s="131">
        <f t="shared" si="10"/>
        <v>27.029599999999999</v>
      </c>
      <c r="G381" s="280">
        <v>8.3400000000000002E-2</v>
      </c>
    </row>
    <row r="382" spans="1:7" ht="15.75" customHeight="1" x14ac:dyDescent="0.15">
      <c r="A382" s="387"/>
      <c r="B382" s="174" t="s">
        <v>550</v>
      </c>
      <c r="C382" s="174" t="s">
        <v>551</v>
      </c>
      <c r="D382" s="180">
        <v>19.989999999999998</v>
      </c>
      <c r="E382" s="180">
        <v>19.989999999999998</v>
      </c>
      <c r="F382" s="131">
        <f t="shared" si="10"/>
        <v>20.7896</v>
      </c>
      <c r="G382" s="280">
        <v>0</v>
      </c>
    </row>
    <row r="383" spans="1:7" ht="15.75" customHeight="1" x14ac:dyDescent="0.15">
      <c r="A383" s="387"/>
      <c r="B383" s="174" t="s">
        <v>550</v>
      </c>
      <c r="C383" s="174" t="s">
        <v>552</v>
      </c>
      <c r="D383" s="180">
        <v>16</v>
      </c>
      <c r="E383" s="180">
        <v>17.489999999999998</v>
      </c>
      <c r="F383" s="131">
        <f t="shared" si="10"/>
        <v>18.189599999999999</v>
      </c>
      <c r="G383" s="280">
        <v>9.3100000000000002E-2</v>
      </c>
    </row>
    <row r="384" spans="1:7" ht="15.75" customHeight="1" x14ac:dyDescent="0.15">
      <c r="A384" s="387"/>
      <c r="B384" s="174" t="s">
        <v>550</v>
      </c>
      <c r="C384" s="177" t="s">
        <v>553</v>
      </c>
      <c r="D384" s="183">
        <v>13.99</v>
      </c>
      <c r="E384" s="183">
        <v>14.99</v>
      </c>
      <c r="F384" s="131">
        <f t="shared" si="10"/>
        <v>15.589600000000001</v>
      </c>
      <c r="G384" s="280">
        <v>7.1499999999999994E-2</v>
      </c>
    </row>
    <row r="385" spans="1:7" ht="15.75" customHeight="1" x14ac:dyDescent="0.15">
      <c r="A385" s="387"/>
      <c r="B385" s="174" t="s">
        <v>550</v>
      </c>
      <c r="C385" s="177" t="s">
        <v>554</v>
      </c>
      <c r="D385" s="183">
        <v>15</v>
      </c>
      <c r="E385" s="183">
        <v>15.99</v>
      </c>
      <c r="F385" s="131">
        <f t="shared" si="10"/>
        <v>16.6296</v>
      </c>
      <c r="G385" s="280">
        <v>6.6000000000000003E-2</v>
      </c>
    </row>
    <row r="386" spans="1:7" ht="15.75" customHeight="1" x14ac:dyDescent="0.15">
      <c r="A386" s="387"/>
      <c r="B386" s="174" t="s">
        <v>555</v>
      </c>
      <c r="C386" s="177" t="s">
        <v>556</v>
      </c>
      <c r="D386" s="183">
        <v>24.99</v>
      </c>
      <c r="E386" s="183">
        <v>24.99</v>
      </c>
      <c r="F386" s="131">
        <f t="shared" si="10"/>
        <v>25.989599999999999</v>
      </c>
      <c r="G386" s="280">
        <v>0</v>
      </c>
    </row>
    <row r="387" spans="1:7" ht="15.75" customHeight="1" x14ac:dyDescent="0.15">
      <c r="A387" s="387"/>
      <c r="B387" s="174" t="s">
        <v>563</v>
      </c>
      <c r="C387" s="177" t="s">
        <v>564</v>
      </c>
      <c r="D387" s="183">
        <v>16.989999999999998</v>
      </c>
      <c r="E387" s="183">
        <v>18.989999999999998</v>
      </c>
      <c r="F387" s="131">
        <f t="shared" si="10"/>
        <v>19.749599999999997</v>
      </c>
      <c r="G387" s="280">
        <v>0.1177</v>
      </c>
    </row>
    <row r="388" spans="1:7" ht="15.75" customHeight="1" x14ac:dyDescent="0.15">
      <c r="A388" s="387"/>
      <c r="B388" s="174" t="s">
        <v>565</v>
      </c>
      <c r="C388" s="177" t="s">
        <v>566</v>
      </c>
      <c r="D388" s="183">
        <v>7.99</v>
      </c>
      <c r="E388" s="183">
        <v>7.99</v>
      </c>
      <c r="F388" s="131">
        <f t="shared" si="10"/>
        <v>8.3095999999999997</v>
      </c>
      <c r="G388" s="280">
        <v>0</v>
      </c>
    </row>
    <row r="389" spans="1:7" ht="15.75" customHeight="1" x14ac:dyDescent="0.15">
      <c r="A389" s="387"/>
      <c r="B389" s="174" t="s">
        <v>565</v>
      </c>
      <c r="C389" s="177" t="s">
        <v>764</v>
      </c>
      <c r="D389" s="183">
        <v>7.99</v>
      </c>
      <c r="E389" s="183">
        <v>7.99</v>
      </c>
      <c r="F389" s="131">
        <f t="shared" si="10"/>
        <v>8.3095999999999997</v>
      </c>
      <c r="G389" s="280">
        <v>0</v>
      </c>
    </row>
    <row r="390" spans="1:7" ht="15.75" customHeight="1" x14ac:dyDescent="0.15">
      <c r="A390" s="388"/>
      <c r="B390" s="174" t="s">
        <v>565</v>
      </c>
      <c r="C390" s="174" t="s">
        <v>766</v>
      </c>
      <c r="D390" s="180">
        <v>6</v>
      </c>
      <c r="E390" s="180">
        <v>6.49</v>
      </c>
      <c r="F390" s="131">
        <f t="shared" si="10"/>
        <v>6.7496</v>
      </c>
      <c r="G390" s="280">
        <v>8.1699999999999995E-2</v>
      </c>
    </row>
    <row r="391" spans="1:7" ht="15.75" customHeight="1" x14ac:dyDescent="0.15">
      <c r="A391" s="422" t="s">
        <v>573</v>
      </c>
      <c r="B391" s="174" t="s">
        <v>574</v>
      </c>
      <c r="C391" s="174" t="s">
        <v>575</v>
      </c>
      <c r="D391" s="180">
        <v>21</v>
      </c>
      <c r="E391" s="180">
        <v>22.5</v>
      </c>
      <c r="F391" s="131">
        <f t="shared" si="10"/>
        <v>23.4</v>
      </c>
      <c r="G391" s="280">
        <v>7.1400000000000005E-2</v>
      </c>
    </row>
    <row r="392" spans="1:7" ht="15.75" customHeight="1" x14ac:dyDescent="0.15">
      <c r="A392" s="387"/>
      <c r="B392" s="174" t="s">
        <v>574</v>
      </c>
      <c r="C392" s="174" t="s">
        <v>576</v>
      </c>
      <c r="D392" s="180">
        <v>28</v>
      </c>
      <c r="E392" s="180">
        <v>29.99</v>
      </c>
      <c r="F392" s="131">
        <f t="shared" si="10"/>
        <v>31.189599999999999</v>
      </c>
      <c r="G392" s="280">
        <v>7.1099999999999997E-2</v>
      </c>
    </row>
    <row r="393" spans="1:7" ht="15.75" customHeight="1" x14ac:dyDescent="0.15">
      <c r="A393" s="387"/>
      <c r="B393" s="174" t="s">
        <v>574</v>
      </c>
      <c r="C393" s="174" t="s">
        <v>577</v>
      </c>
      <c r="D393" s="180">
        <v>52</v>
      </c>
      <c r="E393" s="180">
        <v>54.99</v>
      </c>
      <c r="F393" s="131">
        <f t="shared" si="10"/>
        <v>57.189599999999999</v>
      </c>
      <c r="G393" s="280">
        <v>5.7500000000000002E-2</v>
      </c>
    </row>
    <row r="394" spans="1:7" ht="15.75" customHeight="1" x14ac:dyDescent="0.15">
      <c r="A394" s="387"/>
      <c r="B394" s="174" t="s">
        <v>574</v>
      </c>
      <c r="C394" s="174" t="s">
        <v>578</v>
      </c>
      <c r="D394" s="180">
        <v>74</v>
      </c>
      <c r="E394" s="180">
        <v>75</v>
      </c>
      <c r="F394" s="131">
        <f t="shared" si="10"/>
        <v>78</v>
      </c>
      <c r="G394" s="280">
        <v>1.35E-2</v>
      </c>
    </row>
    <row r="395" spans="1:7" ht="15.75" customHeight="1" x14ac:dyDescent="0.15">
      <c r="A395" s="387"/>
      <c r="B395" s="174" t="s">
        <v>574</v>
      </c>
      <c r="C395" s="174" t="s">
        <v>579</v>
      </c>
      <c r="D395" s="180">
        <v>99.99</v>
      </c>
      <c r="E395" s="180">
        <v>99.99</v>
      </c>
      <c r="F395" s="131">
        <f t="shared" si="10"/>
        <v>103.9896</v>
      </c>
      <c r="G395" s="280">
        <v>0</v>
      </c>
    </row>
    <row r="396" spans="1:7" ht="15.75" customHeight="1" x14ac:dyDescent="0.15">
      <c r="A396" s="387"/>
      <c r="B396" s="174" t="s">
        <v>580</v>
      </c>
      <c r="C396" s="174" t="s">
        <v>581</v>
      </c>
      <c r="D396" s="183">
        <v>29.99</v>
      </c>
      <c r="E396" s="183">
        <v>32.99</v>
      </c>
      <c r="F396" s="131">
        <f t="shared" si="10"/>
        <v>34.309600000000003</v>
      </c>
      <c r="G396" s="280">
        <v>0.1</v>
      </c>
    </row>
    <row r="397" spans="1:7" ht="15.75" customHeight="1" x14ac:dyDescent="0.15">
      <c r="A397" s="387"/>
      <c r="B397" s="174" t="s">
        <v>580</v>
      </c>
      <c r="C397" s="174" t="s">
        <v>582</v>
      </c>
      <c r="D397" s="183">
        <v>44.99</v>
      </c>
      <c r="E397" s="183">
        <v>46.99</v>
      </c>
      <c r="F397" s="131">
        <f t="shared" si="10"/>
        <v>48.869600000000005</v>
      </c>
      <c r="G397" s="280">
        <v>4.4499999999999998E-2</v>
      </c>
    </row>
    <row r="398" spans="1:7" ht="15.75" customHeight="1" x14ac:dyDescent="0.15">
      <c r="A398" s="387"/>
      <c r="B398" s="174" t="s">
        <v>580</v>
      </c>
      <c r="C398" s="174" t="s">
        <v>583</v>
      </c>
      <c r="D398" s="183">
        <v>84.99</v>
      </c>
      <c r="E398" s="183">
        <v>89.99</v>
      </c>
      <c r="F398" s="131">
        <f t="shared" si="10"/>
        <v>93.58959999999999</v>
      </c>
      <c r="G398" s="280">
        <v>5.8799999999999998E-2</v>
      </c>
    </row>
    <row r="399" spans="1:7" ht="15.75" customHeight="1" x14ac:dyDescent="0.15">
      <c r="A399" s="387"/>
      <c r="B399" s="174" t="s">
        <v>580</v>
      </c>
      <c r="C399" s="174" t="s">
        <v>584</v>
      </c>
      <c r="D399" s="183">
        <v>124.99</v>
      </c>
      <c r="E399" s="183">
        <v>129.99</v>
      </c>
      <c r="F399" s="131">
        <f t="shared" si="10"/>
        <v>135.18960000000001</v>
      </c>
      <c r="G399" s="280">
        <v>0.04</v>
      </c>
    </row>
    <row r="400" spans="1:7" ht="15.75" customHeight="1" x14ac:dyDescent="0.15">
      <c r="A400" s="387"/>
      <c r="B400" s="174" t="s">
        <v>580</v>
      </c>
      <c r="C400" s="174" t="s">
        <v>585</v>
      </c>
      <c r="D400" s="183">
        <v>159.99</v>
      </c>
      <c r="E400" s="183">
        <v>169.99</v>
      </c>
      <c r="F400" s="131">
        <f t="shared" si="10"/>
        <v>176.78960000000001</v>
      </c>
      <c r="G400" s="280">
        <v>6.25E-2</v>
      </c>
    </row>
    <row r="401" spans="1:7" ht="15.75" customHeight="1" x14ac:dyDescent="0.15">
      <c r="A401" s="387"/>
      <c r="B401" s="174" t="s">
        <v>586</v>
      </c>
      <c r="C401" s="174" t="s">
        <v>587</v>
      </c>
      <c r="D401" s="183">
        <v>35</v>
      </c>
      <c r="E401" s="183">
        <v>39.99</v>
      </c>
      <c r="F401" s="131">
        <f t="shared" si="10"/>
        <v>41.589600000000004</v>
      </c>
      <c r="G401" s="280">
        <v>0.1426</v>
      </c>
    </row>
    <row r="402" spans="1:7" ht="15.75" customHeight="1" x14ac:dyDescent="0.15">
      <c r="A402" s="387"/>
      <c r="B402" s="174" t="s">
        <v>586</v>
      </c>
      <c r="C402" s="174" t="s">
        <v>588</v>
      </c>
      <c r="D402" s="183">
        <v>52</v>
      </c>
      <c r="E402" s="183">
        <v>57.99</v>
      </c>
      <c r="F402" s="131">
        <f t="shared" si="10"/>
        <v>60.309600000000003</v>
      </c>
      <c r="G402" s="280">
        <v>0.1152</v>
      </c>
    </row>
    <row r="403" spans="1:7" ht="15.75" customHeight="1" x14ac:dyDescent="0.15">
      <c r="A403" s="387"/>
      <c r="B403" s="174" t="s">
        <v>589</v>
      </c>
      <c r="C403" s="174" t="s">
        <v>590</v>
      </c>
      <c r="D403" s="183">
        <v>28</v>
      </c>
      <c r="E403" s="183">
        <v>34.99</v>
      </c>
      <c r="F403" s="131">
        <f t="shared" si="10"/>
        <v>36.389600000000002</v>
      </c>
      <c r="G403" s="280">
        <v>0.24959999999999999</v>
      </c>
    </row>
    <row r="404" spans="1:7" ht="15.75" customHeight="1" x14ac:dyDescent="0.15">
      <c r="A404" s="387"/>
      <c r="B404" s="174" t="s">
        <v>589</v>
      </c>
      <c r="C404" s="174" t="s">
        <v>591</v>
      </c>
      <c r="D404" s="183">
        <v>35</v>
      </c>
      <c r="E404" s="183">
        <v>39.99</v>
      </c>
      <c r="F404" s="131">
        <f t="shared" si="10"/>
        <v>41.589600000000004</v>
      </c>
      <c r="G404" s="280">
        <v>0.1426</v>
      </c>
    </row>
    <row r="405" spans="1:7" ht="15.75" customHeight="1" x14ac:dyDescent="0.15">
      <c r="A405" s="387"/>
      <c r="B405" s="174" t="s">
        <v>592</v>
      </c>
      <c r="C405" s="174" t="s">
        <v>593</v>
      </c>
      <c r="D405" s="180">
        <v>35</v>
      </c>
      <c r="E405" s="180">
        <v>37.99</v>
      </c>
      <c r="F405" s="131">
        <f t="shared" si="10"/>
        <v>39.509599999999999</v>
      </c>
      <c r="G405" s="280">
        <v>8.5400000000000004E-2</v>
      </c>
    </row>
    <row r="406" spans="1:7" ht="15.75" customHeight="1" x14ac:dyDescent="0.15">
      <c r="A406" s="387"/>
      <c r="B406" s="174" t="s">
        <v>592</v>
      </c>
      <c r="C406" s="174" t="s">
        <v>594</v>
      </c>
      <c r="D406" s="180">
        <v>54.99</v>
      </c>
      <c r="E406" s="180">
        <v>59.99</v>
      </c>
      <c r="F406" s="131">
        <f t="shared" si="10"/>
        <v>62.389600000000002</v>
      </c>
      <c r="G406" s="280">
        <v>9.0899999999999995E-2</v>
      </c>
    </row>
    <row r="407" spans="1:7" ht="15.75" customHeight="1" x14ac:dyDescent="0.15">
      <c r="A407" s="387"/>
      <c r="B407" s="174" t="s">
        <v>592</v>
      </c>
      <c r="C407" s="174" t="s">
        <v>595</v>
      </c>
      <c r="D407" s="180">
        <v>99.99</v>
      </c>
      <c r="E407" s="180">
        <v>99.99</v>
      </c>
      <c r="F407" s="131">
        <f t="shared" si="10"/>
        <v>103.9896</v>
      </c>
      <c r="G407" s="280">
        <v>0</v>
      </c>
    </row>
    <row r="408" spans="1:7" ht="15.75" customHeight="1" x14ac:dyDescent="0.15">
      <c r="A408" s="387"/>
      <c r="B408" s="174" t="s">
        <v>592</v>
      </c>
      <c r="C408" s="174" t="s">
        <v>596</v>
      </c>
      <c r="D408" s="180">
        <v>159.99</v>
      </c>
      <c r="E408" s="180">
        <v>159.99</v>
      </c>
      <c r="F408" s="131">
        <f t="shared" si="10"/>
        <v>166.3896</v>
      </c>
      <c r="G408" s="280">
        <v>0</v>
      </c>
    </row>
    <row r="409" spans="1:7" ht="15.75" customHeight="1" x14ac:dyDescent="0.15">
      <c r="A409" s="387"/>
      <c r="B409" s="174" t="s">
        <v>592</v>
      </c>
      <c r="C409" s="174" t="s">
        <v>597</v>
      </c>
      <c r="D409" s="180">
        <v>199</v>
      </c>
      <c r="E409" s="180">
        <v>199</v>
      </c>
      <c r="F409" s="131">
        <f t="shared" si="10"/>
        <v>206.96</v>
      </c>
      <c r="G409" s="280">
        <v>0</v>
      </c>
    </row>
    <row r="410" spans="1:7" ht="15.75" customHeight="1" x14ac:dyDescent="0.15">
      <c r="A410" s="387"/>
      <c r="B410" s="174" t="s">
        <v>598</v>
      </c>
      <c r="C410" s="174" t="s">
        <v>281</v>
      </c>
      <c r="D410" s="180">
        <v>35</v>
      </c>
      <c r="E410" s="180">
        <v>37.99</v>
      </c>
      <c r="F410" s="131">
        <f t="shared" si="10"/>
        <v>39.509599999999999</v>
      </c>
      <c r="G410" s="280">
        <v>8.5400000000000004E-2</v>
      </c>
    </row>
    <row r="411" spans="1:7" ht="15.75" customHeight="1" x14ac:dyDescent="0.15">
      <c r="A411" s="387"/>
      <c r="B411" s="174" t="s">
        <v>598</v>
      </c>
      <c r="C411" s="174" t="s">
        <v>599</v>
      </c>
      <c r="D411" s="180">
        <v>35</v>
      </c>
      <c r="E411" s="180">
        <v>37.99</v>
      </c>
      <c r="F411" s="131">
        <f t="shared" si="10"/>
        <v>39.509599999999999</v>
      </c>
      <c r="G411" s="280">
        <v>8.5400000000000004E-2</v>
      </c>
    </row>
    <row r="412" spans="1:7" ht="15.75" customHeight="1" x14ac:dyDescent="0.15">
      <c r="A412" s="387"/>
      <c r="B412" s="174" t="s">
        <v>598</v>
      </c>
      <c r="C412" s="174" t="s">
        <v>600</v>
      </c>
      <c r="D412" s="180">
        <v>38</v>
      </c>
      <c r="E412" s="180">
        <v>39.99</v>
      </c>
      <c r="F412" s="131">
        <f t="shared" si="10"/>
        <v>41.589600000000004</v>
      </c>
      <c r="G412" s="280">
        <v>5.2400000000000002E-2</v>
      </c>
    </row>
    <row r="413" spans="1:7" ht="15.75" customHeight="1" x14ac:dyDescent="0.15">
      <c r="A413" s="387"/>
      <c r="B413" s="174" t="s">
        <v>601</v>
      </c>
      <c r="C413" s="174" t="s">
        <v>602</v>
      </c>
      <c r="D413" s="180">
        <v>31.99</v>
      </c>
      <c r="E413" s="180">
        <v>34.99</v>
      </c>
      <c r="F413" s="131">
        <f t="shared" si="10"/>
        <v>36.389600000000002</v>
      </c>
      <c r="G413" s="280">
        <v>9.3799999999999994E-2</v>
      </c>
    </row>
    <row r="414" spans="1:7" ht="15.75" customHeight="1" x14ac:dyDescent="0.15">
      <c r="A414" s="387"/>
      <c r="B414" s="174" t="s">
        <v>601</v>
      </c>
      <c r="C414" s="174" t="s">
        <v>603</v>
      </c>
      <c r="D414" s="180">
        <v>31.99</v>
      </c>
      <c r="E414" s="180">
        <v>34.99</v>
      </c>
      <c r="F414" s="131">
        <f t="shared" si="10"/>
        <v>36.389600000000002</v>
      </c>
      <c r="G414" s="280">
        <v>9.3799999999999994E-2</v>
      </c>
    </row>
    <row r="415" spans="1:7" ht="15.75" customHeight="1" x14ac:dyDescent="0.15">
      <c r="A415" s="387"/>
      <c r="B415" s="174" t="s">
        <v>604</v>
      </c>
      <c r="C415" s="174" t="s">
        <v>605</v>
      </c>
      <c r="D415" s="180">
        <v>35</v>
      </c>
      <c r="E415" s="180">
        <v>37.99</v>
      </c>
      <c r="F415" s="131">
        <f t="shared" si="10"/>
        <v>39.509599999999999</v>
      </c>
      <c r="G415" s="280">
        <v>8.5400000000000004E-2</v>
      </c>
    </row>
    <row r="416" spans="1:7" ht="15.75" customHeight="1" x14ac:dyDescent="0.15">
      <c r="A416" s="387"/>
      <c r="B416" s="174" t="s">
        <v>604</v>
      </c>
      <c r="C416" s="174" t="s">
        <v>606</v>
      </c>
      <c r="D416" s="180">
        <v>35</v>
      </c>
      <c r="E416" s="180">
        <v>37.99</v>
      </c>
      <c r="F416" s="131">
        <f t="shared" si="10"/>
        <v>39.509599999999999</v>
      </c>
      <c r="G416" s="280">
        <v>8.5400000000000004E-2</v>
      </c>
    </row>
    <row r="417" spans="1:7" ht="15.75" customHeight="1" x14ac:dyDescent="0.15">
      <c r="A417" s="387"/>
      <c r="B417" s="174" t="s">
        <v>604</v>
      </c>
      <c r="C417" s="174" t="s">
        <v>607</v>
      </c>
      <c r="D417" s="180">
        <v>35</v>
      </c>
      <c r="E417" s="180">
        <v>37.99</v>
      </c>
      <c r="F417" s="131">
        <f t="shared" si="10"/>
        <v>39.509599999999999</v>
      </c>
      <c r="G417" s="280">
        <v>8.5400000000000004E-2</v>
      </c>
    </row>
    <row r="418" spans="1:7" ht="15.75" customHeight="1" x14ac:dyDescent="0.15">
      <c r="A418" s="387"/>
      <c r="B418" s="174" t="s">
        <v>604</v>
      </c>
      <c r="C418" s="174" t="s">
        <v>608</v>
      </c>
      <c r="D418" s="180">
        <v>35</v>
      </c>
      <c r="E418" s="180">
        <v>37.99</v>
      </c>
      <c r="F418" s="131">
        <f t="shared" si="10"/>
        <v>39.509599999999999</v>
      </c>
      <c r="G418" s="280">
        <v>8.5400000000000004E-2</v>
      </c>
    </row>
    <row r="419" spans="1:7" ht="15.75" customHeight="1" x14ac:dyDescent="0.15">
      <c r="A419" s="387"/>
      <c r="B419" s="174" t="s">
        <v>609</v>
      </c>
      <c r="C419" s="174" t="s">
        <v>256</v>
      </c>
      <c r="D419" s="180">
        <v>28.99</v>
      </c>
      <c r="E419" s="180">
        <v>29.99</v>
      </c>
      <c r="F419" s="131">
        <f t="shared" si="10"/>
        <v>31.189599999999999</v>
      </c>
      <c r="G419" s="280">
        <v>3.4500000000000003E-2</v>
      </c>
    </row>
    <row r="420" spans="1:7" ht="15.75" customHeight="1" x14ac:dyDescent="0.15">
      <c r="A420" s="387"/>
      <c r="B420" s="174" t="s">
        <v>609</v>
      </c>
      <c r="C420" s="174" t="s">
        <v>257</v>
      </c>
      <c r="D420" s="180">
        <v>35</v>
      </c>
      <c r="E420" s="180">
        <v>37.99</v>
      </c>
      <c r="F420" s="131">
        <f t="shared" si="10"/>
        <v>39.509599999999999</v>
      </c>
      <c r="G420" s="280">
        <v>8.5400000000000004E-2</v>
      </c>
    </row>
    <row r="421" spans="1:7" ht="15.75" customHeight="1" x14ac:dyDescent="0.15">
      <c r="A421" s="387"/>
      <c r="B421" s="174" t="s">
        <v>609</v>
      </c>
      <c r="C421" s="174" t="s">
        <v>610</v>
      </c>
      <c r="D421" s="180">
        <v>35</v>
      </c>
      <c r="E421" s="180">
        <v>37.99</v>
      </c>
      <c r="F421" s="131">
        <f t="shared" si="10"/>
        <v>39.509599999999999</v>
      </c>
      <c r="G421" s="280">
        <v>8.5400000000000004E-2</v>
      </c>
    </row>
    <row r="422" spans="1:7" ht="15.75" customHeight="1" x14ac:dyDescent="0.15">
      <c r="A422" s="387"/>
      <c r="B422" s="174" t="s">
        <v>609</v>
      </c>
      <c r="C422" s="174" t="s">
        <v>611</v>
      </c>
      <c r="D422" s="180">
        <v>35</v>
      </c>
      <c r="E422" s="180">
        <v>37.99</v>
      </c>
      <c r="F422" s="131">
        <f t="shared" si="10"/>
        <v>39.509599999999999</v>
      </c>
      <c r="G422" s="280">
        <v>8.5400000000000004E-2</v>
      </c>
    </row>
    <row r="423" spans="1:7" ht="15.75" customHeight="1" x14ac:dyDescent="0.15">
      <c r="A423" s="387"/>
      <c r="B423" s="174" t="s">
        <v>609</v>
      </c>
      <c r="C423" s="177" t="s">
        <v>612</v>
      </c>
      <c r="D423" s="183">
        <v>35</v>
      </c>
      <c r="E423" s="183">
        <v>37.99</v>
      </c>
      <c r="F423" s="131">
        <f t="shared" si="10"/>
        <v>39.509599999999999</v>
      </c>
      <c r="G423" s="280">
        <v>8.5400000000000004E-2</v>
      </c>
    </row>
    <row r="424" spans="1:7" ht="15.75" customHeight="1" x14ac:dyDescent="0.15">
      <c r="A424" s="387"/>
      <c r="B424" s="174" t="s">
        <v>609</v>
      </c>
      <c r="C424" s="177" t="s">
        <v>613</v>
      </c>
      <c r="D424" s="183">
        <v>32.99</v>
      </c>
      <c r="E424" s="183">
        <v>34.99</v>
      </c>
      <c r="F424" s="131">
        <f t="shared" si="10"/>
        <v>36.389600000000002</v>
      </c>
      <c r="G424" s="280">
        <v>6.0600000000000001E-2</v>
      </c>
    </row>
    <row r="425" spans="1:7" ht="15.75" customHeight="1" x14ac:dyDescent="0.15">
      <c r="A425" s="387"/>
      <c r="B425" s="174" t="s">
        <v>609</v>
      </c>
      <c r="C425" s="177" t="s">
        <v>614</v>
      </c>
      <c r="D425" s="183">
        <v>24.99</v>
      </c>
      <c r="E425" s="183">
        <v>27.99</v>
      </c>
      <c r="F425" s="131">
        <f t="shared" si="10"/>
        <v>29.109599999999997</v>
      </c>
      <c r="G425" s="280">
        <v>0.12</v>
      </c>
    </row>
    <row r="426" spans="1:7" ht="15.75" customHeight="1" x14ac:dyDescent="0.15">
      <c r="A426" s="387"/>
      <c r="B426" s="174" t="s">
        <v>609</v>
      </c>
      <c r="C426" s="177" t="s">
        <v>615</v>
      </c>
      <c r="D426" s="183">
        <v>35</v>
      </c>
      <c r="E426" s="183">
        <v>37.99</v>
      </c>
      <c r="F426" s="131">
        <f t="shared" si="10"/>
        <v>39.509599999999999</v>
      </c>
      <c r="G426" s="280">
        <v>8.5400000000000004E-2</v>
      </c>
    </row>
    <row r="427" spans="1:7" ht="15.75" customHeight="1" x14ac:dyDescent="0.15">
      <c r="A427" s="387"/>
      <c r="B427" s="174" t="s">
        <v>616</v>
      </c>
      <c r="C427" s="177" t="s">
        <v>617</v>
      </c>
      <c r="D427" s="183">
        <v>22</v>
      </c>
      <c r="E427" s="183">
        <v>24.99</v>
      </c>
      <c r="F427" s="131">
        <f t="shared" si="10"/>
        <v>25.989599999999999</v>
      </c>
      <c r="G427" s="280">
        <v>0.13589999999999999</v>
      </c>
    </row>
    <row r="428" spans="1:7" ht="15.75" customHeight="1" x14ac:dyDescent="0.15">
      <c r="A428" s="387"/>
      <c r="B428" s="174" t="s">
        <v>616</v>
      </c>
      <c r="C428" s="177" t="s">
        <v>618</v>
      </c>
      <c r="D428" s="183">
        <v>22</v>
      </c>
      <c r="E428" s="183">
        <v>24.99</v>
      </c>
      <c r="F428" s="131">
        <f t="shared" si="10"/>
        <v>25.989599999999999</v>
      </c>
      <c r="G428" s="280">
        <v>0.13589999999999999</v>
      </c>
    </row>
    <row r="429" spans="1:7" ht="15.75" customHeight="1" x14ac:dyDescent="0.15">
      <c r="A429" s="387"/>
      <c r="B429" s="174" t="s">
        <v>616</v>
      </c>
      <c r="C429" s="177" t="s">
        <v>619</v>
      </c>
      <c r="D429" s="183">
        <v>32</v>
      </c>
      <c r="E429" s="183">
        <v>34.99</v>
      </c>
      <c r="F429" s="131">
        <f t="shared" si="10"/>
        <v>36.389600000000002</v>
      </c>
      <c r="G429" s="280">
        <v>9.3399999999999997E-2</v>
      </c>
    </row>
    <row r="430" spans="1:7" ht="15.75" customHeight="1" x14ac:dyDescent="0.15">
      <c r="A430" s="387"/>
      <c r="B430" s="174" t="s">
        <v>616</v>
      </c>
      <c r="C430" s="177" t="s">
        <v>8</v>
      </c>
      <c r="D430" s="183">
        <v>22</v>
      </c>
      <c r="E430" s="183">
        <v>24.99</v>
      </c>
      <c r="F430" s="131">
        <f t="shared" si="10"/>
        <v>25.989599999999999</v>
      </c>
      <c r="G430" s="280">
        <v>0.13589999999999999</v>
      </c>
    </row>
    <row r="431" spans="1:7" ht="15.75" customHeight="1" x14ac:dyDescent="0.15">
      <c r="A431" s="387"/>
      <c r="B431" s="174" t="s">
        <v>616</v>
      </c>
      <c r="C431" s="177" t="s">
        <v>620</v>
      </c>
      <c r="D431" s="183">
        <v>22</v>
      </c>
      <c r="E431" s="183">
        <v>24.99</v>
      </c>
      <c r="F431" s="131">
        <f t="shared" si="10"/>
        <v>25.989599999999999</v>
      </c>
      <c r="G431" s="280">
        <v>0.13589999999999999</v>
      </c>
    </row>
    <row r="432" spans="1:7" ht="15.75" customHeight="1" x14ac:dyDescent="0.15">
      <c r="A432" s="387"/>
      <c r="B432" s="174" t="s">
        <v>616</v>
      </c>
      <c r="C432" s="177" t="s">
        <v>621</v>
      </c>
      <c r="D432" s="183">
        <v>22</v>
      </c>
      <c r="E432" s="183">
        <v>24.99</v>
      </c>
      <c r="F432" s="131">
        <f t="shared" si="10"/>
        <v>25.989599999999999</v>
      </c>
      <c r="G432" s="280">
        <v>0.13589999999999999</v>
      </c>
    </row>
    <row r="433" spans="1:7" ht="15.75" customHeight="1" x14ac:dyDescent="0.15">
      <c r="A433" s="387"/>
      <c r="B433" s="174" t="s">
        <v>616</v>
      </c>
      <c r="C433" s="177" t="s">
        <v>278</v>
      </c>
      <c r="D433" s="183">
        <v>24.99</v>
      </c>
      <c r="E433" s="183">
        <v>27.99</v>
      </c>
      <c r="F433" s="131">
        <f t="shared" si="10"/>
        <v>29.109599999999997</v>
      </c>
      <c r="G433" s="280">
        <v>0.12</v>
      </c>
    </row>
    <row r="434" spans="1:7" ht="15.75" customHeight="1" x14ac:dyDescent="0.15">
      <c r="A434" s="387"/>
      <c r="B434" s="174" t="s">
        <v>616</v>
      </c>
      <c r="C434" s="177" t="s">
        <v>622</v>
      </c>
      <c r="D434" s="183">
        <v>25</v>
      </c>
      <c r="E434" s="183">
        <v>27.99</v>
      </c>
      <c r="F434" s="131">
        <f t="shared" si="10"/>
        <v>29.109599999999997</v>
      </c>
      <c r="G434" s="280">
        <v>0.1196</v>
      </c>
    </row>
    <row r="435" spans="1:7" ht="15.75" customHeight="1" x14ac:dyDescent="0.15">
      <c r="A435" s="387"/>
      <c r="B435" s="174" t="s">
        <v>623</v>
      </c>
      <c r="C435" s="177" t="s">
        <v>624</v>
      </c>
      <c r="D435" s="183">
        <v>34</v>
      </c>
      <c r="E435" s="183">
        <v>37.99</v>
      </c>
      <c r="F435" s="131">
        <f t="shared" si="10"/>
        <v>39.509599999999999</v>
      </c>
      <c r="G435" s="280">
        <v>0.1174</v>
      </c>
    </row>
    <row r="436" spans="1:7" ht="15.75" customHeight="1" x14ac:dyDescent="0.15">
      <c r="A436" s="387"/>
      <c r="B436" s="174" t="s">
        <v>623</v>
      </c>
      <c r="C436" s="177" t="s">
        <v>622</v>
      </c>
      <c r="D436" s="183">
        <v>35</v>
      </c>
      <c r="E436" s="183">
        <v>37.99</v>
      </c>
      <c r="F436" s="131">
        <f t="shared" si="10"/>
        <v>39.509599999999999</v>
      </c>
      <c r="G436" s="280">
        <v>8.5400000000000004E-2</v>
      </c>
    </row>
    <row r="437" spans="1:7" ht="15.75" customHeight="1" x14ac:dyDescent="0.15">
      <c r="A437" s="387"/>
      <c r="B437" s="174" t="s">
        <v>625</v>
      </c>
      <c r="C437" s="177" t="s">
        <v>259</v>
      </c>
      <c r="D437" s="183">
        <v>35</v>
      </c>
      <c r="E437" s="183">
        <v>37.99</v>
      </c>
      <c r="F437" s="131">
        <f t="shared" si="10"/>
        <v>39.509599999999999</v>
      </c>
      <c r="G437" s="280">
        <v>8.5400000000000004E-2</v>
      </c>
    </row>
    <row r="438" spans="1:7" ht="15.75" customHeight="1" x14ac:dyDescent="0.15">
      <c r="A438" s="387"/>
      <c r="B438" s="174" t="s">
        <v>625</v>
      </c>
      <c r="C438" s="177" t="s">
        <v>626</v>
      </c>
      <c r="D438" s="183">
        <v>35</v>
      </c>
      <c r="E438" s="183">
        <v>37.99</v>
      </c>
      <c r="F438" s="131">
        <f t="shared" si="10"/>
        <v>39.509599999999999</v>
      </c>
      <c r="G438" s="280">
        <v>8.5400000000000004E-2</v>
      </c>
    </row>
    <row r="439" spans="1:7" ht="15.75" customHeight="1" x14ac:dyDescent="0.15">
      <c r="A439" s="387"/>
      <c r="B439" s="174" t="s">
        <v>625</v>
      </c>
      <c r="C439" s="177" t="s">
        <v>627</v>
      </c>
      <c r="D439" s="183">
        <v>35</v>
      </c>
      <c r="E439" s="183">
        <v>37.99</v>
      </c>
      <c r="F439" s="131">
        <f t="shared" si="10"/>
        <v>39.509599999999999</v>
      </c>
      <c r="G439" s="280">
        <v>8.5400000000000004E-2</v>
      </c>
    </row>
    <row r="440" spans="1:7" ht="15.75" customHeight="1" x14ac:dyDescent="0.15">
      <c r="A440" s="387"/>
      <c r="B440" s="174" t="s">
        <v>625</v>
      </c>
      <c r="C440" s="177" t="s">
        <v>628</v>
      </c>
      <c r="D440" s="183">
        <v>35</v>
      </c>
      <c r="E440" s="183">
        <v>37.99</v>
      </c>
      <c r="F440" s="131">
        <f t="shared" si="10"/>
        <v>39.509599999999999</v>
      </c>
      <c r="G440" s="280">
        <v>8.5400000000000004E-2</v>
      </c>
    </row>
    <row r="441" spans="1:7" ht="15.75" customHeight="1" x14ac:dyDescent="0.15">
      <c r="A441" s="387"/>
      <c r="B441" s="174" t="s">
        <v>625</v>
      </c>
      <c r="C441" s="177" t="s">
        <v>314</v>
      </c>
      <c r="D441" s="183">
        <v>35</v>
      </c>
      <c r="E441" s="183">
        <v>37.99</v>
      </c>
      <c r="F441" s="131">
        <f t="shared" si="10"/>
        <v>39.509599999999999</v>
      </c>
      <c r="G441" s="280">
        <v>8.5400000000000004E-2</v>
      </c>
    </row>
    <row r="442" spans="1:7" ht="15.75" customHeight="1" x14ac:dyDescent="0.15">
      <c r="A442" s="387"/>
      <c r="B442" s="174" t="s">
        <v>625</v>
      </c>
      <c r="C442" s="177" t="s">
        <v>629</v>
      </c>
      <c r="D442" s="183">
        <v>35</v>
      </c>
      <c r="E442" s="183">
        <v>37.99</v>
      </c>
      <c r="F442" s="131">
        <f t="shared" si="10"/>
        <v>39.509599999999999</v>
      </c>
      <c r="G442" s="280">
        <v>8.5400000000000004E-2</v>
      </c>
    </row>
    <row r="443" spans="1:7" ht="15.75" customHeight="1" x14ac:dyDescent="0.15">
      <c r="A443" s="387"/>
      <c r="B443" s="174" t="s">
        <v>625</v>
      </c>
      <c r="C443" s="177" t="s">
        <v>630</v>
      </c>
      <c r="D443" s="183">
        <v>35</v>
      </c>
      <c r="E443" s="183">
        <v>37.99</v>
      </c>
      <c r="F443" s="131">
        <f t="shared" si="10"/>
        <v>39.509599999999999</v>
      </c>
      <c r="G443" s="280">
        <v>8.5400000000000004E-2</v>
      </c>
    </row>
    <row r="444" spans="1:7" ht="15.75" customHeight="1" x14ac:dyDescent="0.15">
      <c r="A444" s="387"/>
      <c r="B444" s="174" t="s">
        <v>632</v>
      </c>
      <c r="C444" s="174"/>
      <c r="D444" s="180">
        <v>35</v>
      </c>
      <c r="E444" s="180">
        <v>35</v>
      </c>
      <c r="F444" s="131">
        <f t="shared" si="10"/>
        <v>36.4</v>
      </c>
      <c r="G444" s="280">
        <v>8.5400000000000004E-2</v>
      </c>
    </row>
    <row r="445" spans="1:7" ht="15.75" customHeight="1" x14ac:dyDescent="0.15">
      <c r="A445" s="445" t="s">
        <v>914</v>
      </c>
      <c r="B445" s="446"/>
      <c r="C445" s="446"/>
      <c r="D445" s="446"/>
      <c r="E445" s="446"/>
      <c r="F445" s="447"/>
    </row>
    <row r="446" spans="1:7" ht="15.75" customHeight="1" x14ac:dyDescent="0.15">
      <c r="A446" s="283" t="s">
        <v>915</v>
      </c>
      <c r="B446" s="284" t="s">
        <v>769</v>
      </c>
      <c r="C446" s="284" t="s">
        <v>916</v>
      </c>
      <c r="D446" s="285" t="s">
        <v>917</v>
      </c>
      <c r="E446" s="285" t="s">
        <v>917</v>
      </c>
      <c r="F446" s="286" t="s">
        <v>772</v>
      </c>
      <c r="G446" s="287" t="s">
        <v>773</v>
      </c>
    </row>
    <row r="447" spans="1:7" ht="15.75" customHeight="1" x14ac:dyDescent="0.15">
      <c r="A447" s="436" t="s">
        <v>684</v>
      </c>
      <c r="B447" s="444" t="s">
        <v>918</v>
      </c>
      <c r="C447" s="100" t="s">
        <v>686</v>
      </c>
      <c r="D447" s="225">
        <v>59.99</v>
      </c>
      <c r="E447" s="225">
        <v>59.99</v>
      </c>
      <c r="F447" s="240">
        <f t="shared" ref="F447:F471" si="11">D447*1.04</f>
        <v>62.389600000000002</v>
      </c>
      <c r="G447" s="243">
        <f t="shared" ref="G447:G471" si="12">D447*1.25</f>
        <v>74.987499999999997</v>
      </c>
    </row>
    <row r="448" spans="1:7" ht="15.75" customHeight="1" x14ac:dyDescent="0.15">
      <c r="A448" s="380"/>
      <c r="B448" s="368"/>
      <c r="C448" s="104" t="s">
        <v>687</v>
      </c>
      <c r="D448" s="200">
        <f t="shared" ref="D448:E448" si="13">D447+21.99</f>
        <v>81.98</v>
      </c>
      <c r="E448" s="200">
        <f t="shared" si="13"/>
        <v>81.98</v>
      </c>
      <c r="F448" s="241">
        <f t="shared" si="11"/>
        <v>85.259200000000007</v>
      </c>
      <c r="G448" s="244">
        <f t="shared" si="12"/>
        <v>102.47500000000001</v>
      </c>
    </row>
    <row r="449" spans="1:7" ht="15.75" customHeight="1" x14ac:dyDescent="0.15">
      <c r="A449" s="380"/>
      <c r="B449" s="368"/>
      <c r="C449" s="104" t="s">
        <v>689</v>
      </c>
      <c r="D449" s="200">
        <f t="shared" ref="D449:E449" si="14">D447+24.99</f>
        <v>84.98</v>
      </c>
      <c r="E449" s="200">
        <f t="shared" si="14"/>
        <v>84.98</v>
      </c>
      <c r="F449" s="241">
        <f t="shared" si="11"/>
        <v>88.379200000000012</v>
      </c>
      <c r="G449" s="244">
        <f t="shared" si="12"/>
        <v>106.22500000000001</v>
      </c>
    </row>
    <row r="450" spans="1:7" ht="15.75" customHeight="1" x14ac:dyDescent="0.15">
      <c r="A450" s="380"/>
      <c r="B450" s="368"/>
      <c r="C450" s="104" t="s">
        <v>691</v>
      </c>
      <c r="D450" s="200">
        <f t="shared" ref="D450:E450" si="15">D447+27.99</f>
        <v>87.98</v>
      </c>
      <c r="E450" s="200">
        <f t="shared" si="15"/>
        <v>87.98</v>
      </c>
      <c r="F450" s="241">
        <f t="shared" si="11"/>
        <v>91.499200000000002</v>
      </c>
      <c r="G450" s="244">
        <f t="shared" si="12"/>
        <v>109.97500000000001</v>
      </c>
    </row>
    <row r="451" spans="1:7" ht="15.75" customHeight="1" x14ac:dyDescent="0.15">
      <c r="A451" s="381"/>
      <c r="B451" s="378"/>
      <c r="C451" s="110" t="s">
        <v>693</v>
      </c>
      <c r="D451" s="199">
        <f t="shared" ref="D451:E451" si="16">D447+24.99</f>
        <v>84.98</v>
      </c>
      <c r="E451" s="199">
        <f t="shared" si="16"/>
        <v>84.98</v>
      </c>
      <c r="F451" s="248">
        <f t="shared" si="11"/>
        <v>88.379200000000012</v>
      </c>
      <c r="G451" s="249">
        <f t="shared" si="12"/>
        <v>106.22500000000001</v>
      </c>
    </row>
    <row r="452" spans="1:7" ht="15.75" customHeight="1" x14ac:dyDescent="0.15">
      <c r="A452" s="436" t="s">
        <v>919</v>
      </c>
      <c r="B452" s="444" t="s">
        <v>920</v>
      </c>
      <c r="C452" s="100" t="s">
        <v>686</v>
      </c>
      <c r="D452" s="225">
        <v>29.99</v>
      </c>
      <c r="E452" s="225">
        <v>29.99</v>
      </c>
      <c r="F452" s="240">
        <f t="shared" si="11"/>
        <v>31.189599999999999</v>
      </c>
      <c r="G452" s="243">
        <f t="shared" si="12"/>
        <v>37.487499999999997</v>
      </c>
    </row>
    <row r="453" spans="1:7" ht="15.75" customHeight="1" x14ac:dyDescent="0.15">
      <c r="A453" s="380"/>
      <c r="B453" s="368"/>
      <c r="C453" s="104" t="s">
        <v>687</v>
      </c>
      <c r="D453" s="200">
        <f t="shared" ref="D453:E453" si="17">D452+21.99</f>
        <v>51.98</v>
      </c>
      <c r="E453" s="200">
        <f t="shared" si="17"/>
        <v>51.98</v>
      </c>
      <c r="F453" s="241">
        <f t="shared" si="11"/>
        <v>54.059199999999997</v>
      </c>
      <c r="G453" s="244">
        <f t="shared" si="12"/>
        <v>64.974999999999994</v>
      </c>
    </row>
    <row r="454" spans="1:7" ht="15.75" customHeight="1" x14ac:dyDescent="0.15">
      <c r="A454" s="380"/>
      <c r="B454" s="368"/>
      <c r="C454" s="104" t="s">
        <v>689</v>
      </c>
      <c r="D454" s="200">
        <f t="shared" ref="D454:E454" si="18">D452+24.99</f>
        <v>54.98</v>
      </c>
      <c r="E454" s="200">
        <f t="shared" si="18"/>
        <v>54.98</v>
      </c>
      <c r="F454" s="241">
        <f t="shared" si="11"/>
        <v>57.179200000000002</v>
      </c>
      <c r="G454" s="244">
        <f t="shared" si="12"/>
        <v>68.724999999999994</v>
      </c>
    </row>
    <row r="455" spans="1:7" ht="15.75" customHeight="1" x14ac:dyDescent="0.15">
      <c r="A455" s="380"/>
      <c r="B455" s="368"/>
      <c r="C455" s="104" t="s">
        <v>691</v>
      </c>
      <c r="D455" s="200">
        <f t="shared" ref="D455:E455" si="19">D452+27.99</f>
        <v>57.98</v>
      </c>
      <c r="E455" s="200">
        <f t="shared" si="19"/>
        <v>57.98</v>
      </c>
      <c r="F455" s="241">
        <f t="shared" si="11"/>
        <v>60.299199999999999</v>
      </c>
      <c r="G455" s="244">
        <f t="shared" si="12"/>
        <v>72.474999999999994</v>
      </c>
    </row>
    <row r="456" spans="1:7" ht="15.75" customHeight="1" x14ac:dyDescent="0.15">
      <c r="A456" s="381"/>
      <c r="B456" s="378"/>
      <c r="C456" s="110" t="s">
        <v>693</v>
      </c>
      <c r="D456" s="199">
        <f t="shared" ref="D456:E456" si="20">D452+24.99</f>
        <v>54.98</v>
      </c>
      <c r="E456" s="199">
        <f t="shared" si="20"/>
        <v>54.98</v>
      </c>
      <c r="F456" s="248">
        <f t="shared" si="11"/>
        <v>57.179200000000002</v>
      </c>
      <c r="G456" s="249">
        <f t="shared" si="12"/>
        <v>68.724999999999994</v>
      </c>
    </row>
    <row r="457" spans="1:7" ht="15.75" customHeight="1" x14ac:dyDescent="0.15">
      <c r="A457" s="436" t="s">
        <v>921</v>
      </c>
      <c r="B457" s="444" t="s">
        <v>922</v>
      </c>
      <c r="C457" s="100" t="s">
        <v>686</v>
      </c>
      <c r="D457" s="225">
        <v>35.99</v>
      </c>
      <c r="E457" s="225">
        <v>35.99</v>
      </c>
      <c r="F457" s="240">
        <f t="shared" si="11"/>
        <v>37.429600000000001</v>
      </c>
      <c r="G457" s="243">
        <f t="shared" si="12"/>
        <v>44.987500000000004</v>
      </c>
    </row>
    <row r="458" spans="1:7" ht="15.75" customHeight="1" x14ac:dyDescent="0.15">
      <c r="A458" s="380"/>
      <c r="B458" s="368"/>
      <c r="C458" s="104" t="s">
        <v>687</v>
      </c>
      <c r="D458" s="200">
        <f t="shared" ref="D458:E458" si="21">D457+21.99</f>
        <v>57.980000000000004</v>
      </c>
      <c r="E458" s="200">
        <f t="shared" si="21"/>
        <v>57.980000000000004</v>
      </c>
      <c r="F458" s="241">
        <f t="shared" si="11"/>
        <v>60.299200000000006</v>
      </c>
      <c r="G458" s="244">
        <f t="shared" si="12"/>
        <v>72.475000000000009</v>
      </c>
    </row>
    <row r="459" spans="1:7" ht="15.75" customHeight="1" x14ac:dyDescent="0.15">
      <c r="A459" s="380"/>
      <c r="B459" s="368"/>
      <c r="C459" s="104" t="s">
        <v>689</v>
      </c>
      <c r="D459" s="200">
        <f t="shared" ref="D459:E459" si="22">D457+24.99</f>
        <v>60.980000000000004</v>
      </c>
      <c r="E459" s="200">
        <f t="shared" si="22"/>
        <v>60.980000000000004</v>
      </c>
      <c r="F459" s="241">
        <f t="shared" si="11"/>
        <v>63.419200000000004</v>
      </c>
      <c r="G459" s="244">
        <f t="shared" si="12"/>
        <v>76.225000000000009</v>
      </c>
    </row>
    <row r="460" spans="1:7" ht="15.75" customHeight="1" x14ac:dyDescent="0.15">
      <c r="A460" s="380"/>
      <c r="B460" s="368"/>
      <c r="C460" s="104" t="s">
        <v>691</v>
      </c>
      <c r="D460" s="200">
        <f t="shared" ref="D460:E460" si="23">D457+27.99</f>
        <v>63.980000000000004</v>
      </c>
      <c r="E460" s="200">
        <f t="shared" si="23"/>
        <v>63.980000000000004</v>
      </c>
      <c r="F460" s="241">
        <f t="shared" si="11"/>
        <v>66.539200000000008</v>
      </c>
      <c r="G460" s="244">
        <f t="shared" si="12"/>
        <v>79.975000000000009</v>
      </c>
    </row>
    <row r="461" spans="1:7" ht="15.75" customHeight="1" x14ac:dyDescent="0.15">
      <c r="A461" s="380"/>
      <c r="B461" s="368"/>
      <c r="C461" s="104" t="s">
        <v>693</v>
      </c>
      <c r="D461" s="200">
        <f t="shared" ref="D461:E461" si="24">D457+24.99</f>
        <v>60.980000000000004</v>
      </c>
      <c r="E461" s="200">
        <f t="shared" si="24"/>
        <v>60.980000000000004</v>
      </c>
      <c r="F461" s="241">
        <f t="shared" si="11"/>
        <v>63.419200000000004</v>
      </c>
      <c r="G461" s="244">
        <f t="shared" si="12"/>
        <v>76.225000000000009</v>
      </c>
    </row>
    <row r="462" spans="1:7" ht="15.75" customHeight="1" x14ac:dyDescent="0.15">
      <c r="A462" s="381"/>
      <c r="B462" s="378"/>
      <c r="C462" s="110" t="s">
        <v>694</v>
      </c>
      <c r="D462" s="199">
        <f t="shared" ref="D462:E462" si="25">D457+34.99</f>
        <v>70.98</v>
      </c>
      <c r="E462" s="199">
        <f t="shared" si="25"/>
        <v>70.98</v>
      </c>
      <c r="F462" s="248">
        <f t="shared" si="11"/>
        <v>73.819200000000009</v>
      </c>
      <c r="G462" s="249">
        <f t="shared" si="12"/>
        <v>88.725000000000009</v>
      </c>
    </row>
    <row r="463" spans="1:7" ht="15.75" customHeight="1" x14ac:dyDescent="0.15">
      <c r="A463" s="436" t="s">
        <v>923</v>
      </c>
      <c r="B463" s="444" t="s">
        <v>924</v>
      </c>
      <c r="C463" s="100" t="s">
        <v>686</v>
      </c>
      <c r="D463" s="225">
        <v>21.98</v>
      </c>
      <c r="E463" s="225">
        <v>21.98</v>
      </c>
      <c r="F463" s="240">
        <f t="shared" si="11"/>
        <v>22.859200000000001</v>
      </c>
      <c r="G463" s="243">
        <f t="shared" si="12"/>
        <v>27.475000000000001</v>
      </c>
    </row>
    <row r="464" spans="1:7" ht="15.75" customHeight="1" x14ac:dyDescent="0.15">
      <c r="A464" s="380"/>
      <c r="B464" s="368"/>
      <c r="C464" s="104" t="s">
        <v>687</v>
      </c>
      <c r="D464" s="200">
        <f t="shared" ref="D464:E464" si="26">D463+22.99</f>
        <v>44.97</v>
      </c>
      <c r="E464" s="200">
        <f t="shared" si="26"/>
        <v>44.97</v>
      </c>
      <c r="F464" s="241">
        <f t="shared" si="11"/>
        <v>46.768799999999999</v>
      </c>
      <c r="G464" s="244">
        <f t="shared" si="12"/>
        <v>56.212499999999999</v>
      </c>
    </row>
    <row r="465" spans="1:7" ht="15.75" customHeight="1" x14ac:dyDescent="0.15">
      <c r="A465" s="380"/>
      <c r="B465" s="368"/>
      <c r="C465" s="104" t="s">
        <v>689</v>
      </c>
      <c r="D465" s="200">
        <f t="shared" ref="D465:E465" si="27">D463+25.99</f>
        <v>47.97</v>
      </c>
      <c r="E465" s="200">
        <f t="shared" si="27"/>
        <v>47.97</v>
      </c>
      <c r="F465" s="241">
        <f t="shared" si="11"/>
        <v>49.888800000000003</v>
      </c>
      <c r="G465" s="244">
        <f t="shared" si="12"/>
        <v>59.962499999999999</v>
      </c>
    </row>
    <row r="466" spans="1:7" ht="15.75" customHeight="1" x14ac:dyDescent="0.15">
      <c r="A466" s="380"/>
      <c r="B466" s="368"/>
      <c r="C466" s="104" t="s">
        <v>691</v>
      </c>
      <c r="D466" s="200">
        <f t="shared" ref="D466:E466" si="28">D463+27.99</f>
        <v>49.97</v>
      </c>
      <c r="E466" s="200">
        <f t="shared" si="28"/>
        <v>49.97</v>
      </c>
      <c r="F466" s="241">
        <f t="shared" si="11"/>
        <v>51.968800000000002</v>
      </c>
      <c r="G466" s="244">
        <f t="shared" si="12"/>
        <v>62.462499999999999</v>
      </c>
    </row>
    <row r="467" spans="1:7" ht="15.75" customHeight="1" x14ac:dyDescent="0.15">
      <c r="A467" s="380"/>
      <c r="B467" s="368"/>
      <c r="C467" s="104" t="s">
        <v>693</v>
      </c>
      <c r="D467" s="200">
        <f t="shared" ref="D467:E467" si="29">D463+24.99</f>
        <v>46.97</v>
      </c>
      <c r="E467" s="200">
        <f t="shared" si="29"/>
        <v>46.97</v>
      </c>
      <c r="F467" s="241">
        <f t="shared" si="11"/>
        <v>48.848799999999997</v>
      </c>
      <c r="G467" s="244">
        <f t="shared" si="12"/>
        <v>58.712499999999999</v>
      </c>
    </row>
    <row r="468" spans="1:7" ht="15.75" customHeight="1" x14ac:dyDescent="0.15">
      <c r="A468" s="381"/>
      <c r="B468" s="378"/>
      <c r="C468" s="110" t="s">
        <v>694</v>
      </c>
      <c r="D468" s="199">
        <f t="shared" ref="D468:E468" si="30">D463+34.99</f>
        <v>56.97</v>
      </c>
      <c r="E468" s="199">
        <f t="shared" si="30"/>
        <v>56.97</v>
      </c>
      <c r="F468" s="248">
        <f t="shared" si="11"/>
        <v>59.248800000000003</v>
      </c>
      <c r="G468" s="249">
        <f t="shared" si="12"/>
        <v>71.212500000000006</v>
      </c>
    </row>
    <row r="469" spans="1:7" ht="15.75" customHeight="1" x14ac:dyDescent="0.15">
      <c r="A469" s="288" t="s">
        <v>702</v>
      </c>
      <c r="B469" s="289" t="s">
        <v>925</v>
      </c>
      <c r="C469" s="290"/>
      <c r="D469" s="203">
        <v>31</v>
      </c>
      <c r="E469" s="203">
        <v>31</v>
      </c>
      <c r="F469" s="291">
        <f t="shared" si="11"/>
        <v>32.24</v>
      </c>
      <c r="G469" s="207">
        <f t="shared" si="12"/>
        <v>38.75</v>
      </c>
    </row>
    <row r="470" spans="1:7" ht="15.75" customHeight="1" x14ac:dyDescent="0.15">
      <c r="A470" s="288" t="s">
        <v>704</v>
      </c>
      <c r="B470" s="289" t="s">
        <v>926</v>
      </c>
      <c r="C470" s="290"/>
      <c r="D470" s="205">
        <v>37.99</v>
      </c>
      <c r="E470" s="205">
        <v>37.99</v>
      </c>
      <c r="F470" s="291">
        <f t="shared" si="11"/>
        <v>39.509600000000006</v>
      </c>
      <c r="G470" s="207">
        <f t="shared" si="12"/>
        <v>47.487500000000004</v>
      </c>
    </row>
    <row r="471" spans="1:7" ht="15.75" customHeight="1" x14ac:dyDescent="0.15">
      <c r="A471" s="288" t="s">
        <v>706</v>
      </c>
      <c r="B471" s="289" t="s">
        <v>707</v>
      </c>
      <c r="C471" s="290"/>
      <c r="D471" s="207">
        <v>42.99</v>
      </c>
      <c r="E471" s="207">
        <v>42.99</v>
      </c>
      <c r="F471" s="291">
        <f t="shared" si="11"/>
        <v>44.709600000000002</v>
      </c>
      <c r="G471" s="207">
        <f t="shared" si="12"/>
        <v>53.737500000000004</v>
      </c>
    </row>
    <row r="472" spans="1:7" ht="15.75" customHeight="1" x14ac:dyDescent="0.15">
      <c r="E472" s="292"/>
    </row>
    <row r="473" spans="1:7" ht="15.75" customHeight="1" x14ac:dyDescent="0.15">
      <c r="E473" s="292"/>
    </row>
    <row r="474" spans="1:7" ht="15.75" customHeight="1" x14ac:dyDescent="0.15">
      <c r="E474" s="292"/>
    </row>
    <row r="475" spans="1:7" ht="15.75" customHeight="1" x14ac:dyDescent="0.15">
      <c r="E475" s="292"/>
    </row>
    <row r="476" spans="1:7" ht="15.75" customHeight="1" x14ac:dyDescent="0.15">
      <c r="E476" s="292"/>
    </row>
    <row r="477" spans="1:7" ht="15.75" customHeight="1" x14ac:dyDescent="0.15">
      <c r="E477" s="292"/>
    </row>
    <row r="478" spans="1:7" ht="15.75" customHeight="1" x14ac:dyDescent="0.15">
      <c r="E478" s="292"/>
    </row>
    <row r="479" spans="1:7" ht="15.75" customHeight="1" x14ac:dyDescent="0.15">
      <c r="E479" s="292"/>
    </row>
    <row r="480" spans="1:7" ht="15.75" customHeight="1" x14ac:dyDescent="0.15">
      <c r="E480" s="292"/>
    </row>
    <row r="481" spans="5:5" ht="15.75" customHeight="1" x14ac:dyDescent="0.15">
      <c r="E481" s="292"/>
    </row>
    <row r="482" spans="5:5" ht="15.75" customHeight="1" x14ac:dyDescent="0.15">
      <c r="E482" s="292"/>
    </row>
    <row r="483" spans="5:5" ht="15.75" customHeight="1" x14ac:dyDescent="0.15">
      <c r="E483" s="292"/>
    </row>
    <row r="484" spans="5:5" ht="15.75" customHeight="1" x14ac:dyDescent="0.15">
      <c r="E484" s="292"/>
    </row>
    <row r="485" spans="5:5" ht="15.75" customHeight="1" x14ac:dyDescent="0.15">
      <c r="E485" s="292"/>
    </row>
    <row r="486" spans="5:5" ht="15.75" customHeight="1" x14ac:dyDescent="0.15">
      <c r="E486" s="292"/>
    </row>
    <row r="487" spans="5:5" ht="15.75" customHeight="1" x14ac:dyDescent="0.15">
      <c r="E487" s="292"/>
    </row>
    <row r="488" spans="5:5" ht="15.75" customHeight="1" x14ac:dyDescent="0.15">
      <c r="E488" s="292"/>
    </row>
    <row r="489" spans="5:5" ht="15.75" customHeight="1" x14ac:dyDescent="0.15">
      <c r="E489" s="292"/>
    </row>
    <row r="490" spans="5:5" ht="15.75" customHeight="1" x14ac:dyDescent="0.15">
      <c r="E490" s="292"/>
    </row>
    <row r="491" spans="5:5" ht="15.75" customHeight="1" x14ac:dyDescent="0.15">
      <c r="E491" s="292"/>
    </row>
    <row r="492" spans="5:5" ht="15.75" customHeight="1" x14ac:dyDescent="0.15">
      <c r="E492" s="292"/>
    </row>
    <row r="493" spans="5:5" ht="15.75" customHeight="1" x14ac:dyDescent="0.15">
      <c r="E493" s="292"/>
    </row>
    <row r="494" spans="5:5" ht="15.75" customHeight="1" x14ac:dyDescent="0.15">
      <c r="E494" s="292"/>
    </row>
    <row r="495" spans="5:5" ht="15.75" customHeight="1" x14ac:dyDescent="0.15">
      <c r="E495" s="292"/>
    </row>
    <row r="496" spans="5:5" ht="15.75" customHeight="1" x14ac:dyDescent="0.15">
      <c r="E496" s="292"/>
    </row>
    <row r="497" spans="5:5" ht="15.75" customHeight="1" x14ac:dyDescent="0.15">
      <c r="E497" s="292"/>
    </row>
    <row r="498" spans="5:5" ht="15.75" customHeight="1" x14ac:dyDescent="0.15">
      <c r="E498" s="292"/>
    </row>
    <row r="499" spans="5:5" ht="15.75" customHeight="1" x14ac:dyDescent="0.15">
      <c r="E499" s="292"/>
    </row>
    <row r="500" spans="5:5" ht="15.75" customHeight="1" x14ac:dyDescent="0.15">
      <c r="E500" s="292"/>
    </row>
    <row r="501" spans="5:5" ht="15.75" customHeight="1" x14ac:dyDescent="0.15">
      <c r="E501" s="292"/>
    </row>
    <row r="502" spans="5:5" ht="15.75" customHeight="1" x14ac:dyDescent="0.15">
      <c r="E502" s="292"/>
    </row>
    <row r="503" spans="5:5" ht="15.75" customHeight="1" x14ac:dyDescent="0.15">
      <c r="E503" s="292"/>
    </row>
    <row r="504" spans="5:5" ht="15.75" customHeight="1" x14ac:dyDescent="0.15">
      <c r="E504" s="292"/>
    </row>
    <row r="505" spans="5:5" ht="15.75" customHeight="1" x14ac:dyDescent="0.15">
      <c r="E505" s="292"/>
    </row>
    <row r="506" spans="5:5" ht="15.75" customHeight="1" x14ac:dyDescent="0.15">
      <c r="E506" s="292"/>
    </row>
    <row r="507" spans="5:5" ht="15.75" customHeight="1" x14ac:dyDescent="0.15">
      <c r="E507" s="292"/>
    </row>
    <row r="508" spans="5:5" ht="15.75" customHeight="1" x14ac:dyDescent="0.15">
      <c r="E508" s="292"/>
    </row>
    <row r="509" spans="5:5" ht="15.75" customHeight="1" x14ac:dyDescent="0.15">
      <c r="E509" s="292"/>
    </row>
    <row r="510" spans="5:5" ht="15.75" customHeight="1" x14ac:dyDescent="0.15">
      <c r="E510" s="292"/>
    </row>
    <row r="511" spans="5:5" ht="15.75" customHeight="1" x14ac:dyDescent="0.15">
      <c r="E511" s="292"/>
    </row>
    <row r="512" spans="5:5" ht="15.75" customHeight="1" x14ac:dyDescent="0.15">
      <c r="E512" s="292"/>
    </row>
    <row r="513" spans="5:5" ht="15.75" customHeight="1" x14ac:dyDescent="0.15">
      <c r="E513" s="292"/>
    </row>
    <row r="514" spans="5:5" ht="15.75" customHeight="1" x14ac:dyDescent="0.15">
      <c r="E514" s="292"/>
    </row>
    <row r="515" spans="5:5" ht="15.75" customHeight="1" x14ac:dyDescent="0.15">
      <c r="E515" s="292"/>
    </row>
    <row r="516" spans="5:5" ht="15.75" customHeight="1" x14ac:dyDescent="0.15">
      <c r="E516" s="292"/>
    </row>
    <row r="517" spans="5:5" ht="15.75" customHeight="1" x14ac:dyDescent="0.15">
      <c r="E517" s="292"/>
    </row>
    <row r="518" spans="5:5" ht="15.75" customHeight="1" x14ac:dyDescent="0.15">
      <c r="E518" s="292"/>
    </row>
    <row r="519" spans="5:5" ht="15.75" customHeight="1" x14ac:dyDescent="0.15">
      <c r="E519" s="292"/>
    </row>
    <row r="520" spans="5:5" ht="15.75" customHeight="1" x14ac:dyDescent="0.15">
      <c r="E520" s="292"/>
    </row>
    <row r="521" spans="5:5" ht="15.75" customHeight="1" x14ac:dyDescent="0.15">
      <c r="E521" s="292"/>
    </row>
    <row r="522" spans="5:5" ht="15.75" customHeight="1" x14ac:dyDescent="0.15">
      <c r="E522" s="292"/>
    </row>
    <row r="523" spans="5:5" ht="15.75" customHeight="1" x14ac:dyDescent="0.15">
      <c r="E523" s="292"/>
    </row>
    <row r="524" spans="5:5" ht="15.75" customHeight="1" x14ac:dyDescent="0.15">
      <c r="E524" s="292"/>
    </row>
    <row r="525" spans="5:5" ht="15.75" customHeight="1" x14ac:dyDescent="0.15">
      <c r="E525" s="292"/>
    </row>
    <row r="526" spans="5:5" ht="15.75" customHeight="1" x14ac:dyDescent="0.15">
      <c r="E526" s="292"/>
    </row>
    <row r="527" spans="5:5" ht="15.75" customHeight="1" x14ac:dyDescent="0.15">
      <c r="E527" s="292"/>
    </row>
    <row r="528" spans="5:5" ht="15.75" customHeight="1" x14ac:dyDescent="0.15">
      <c r="E528" s="292"/>
    </row>
    <row r="529" spans="5:5" ht="15.75" customHeight="1" x14ac:dyDescent="0.15">
      <c r="E529" s="292"/>
    </row>
    <row r="530" spans="5:5" ht="15.75" customHeight="1" x14ac:dyDescent="0.15">
      <c r="E530" s="292"/>
    </row>
    <row r="531" spans="5:5" ht="15.75" customHeight="1" x14ac:dyDescent="0.15">
      <c r="E531" s="292"/>
    </row>
    <row r="532" spans="5:5" ht="15.75" customHeight="1" x14ac:dyDescent="0.15">
      <c r="E532" s="292"/>
    </row>
    <row r="533" spans="5:5" ht="15.75" customHeight="1" x14ac:dyDescent="0.15">
      <c r="E533" s="292"/>
    </row>
    <row r="534" spans="5:5" ht="15.75" customHeight="1" x14ac:dyDescent="0.15">
      <c r="E534" s="292"/>
    </row>
    <row r="535" spans="5:5" ht="15.75" customHeight="1" x14ac:dyDescent="0.15">
      <c r="E535" s="292"/>
    </row>
    <row r="536" spans="5:5" ht="15.75" customHeight="1" x14ac:dyDescent="0.15">
      <c r="E536" s="292"/>
    </row>
    <row r="537" spans="5:5" ht="15.75" customHeight="1" x14ac:dyDescent="0.15">
      <c r="E537" s="292"/>
    </row>
    <row r="538" spans="5:5" ht="15.75" customHeight="1" x14ac:dyDescent="0.15">
      <c r="E538" s="292"/>
    </row>
    <row r="539" spans="5:5" ht="15.75" customHeight="1" x14ac:dyDescent="0.15">
      <c r="E539" s="292"/>
    </row>
    <row r="540" spans="5:5" ht="15.75" customHeight="1" x14ac:dyDescent="0.15">
      <c r="E540" s="292"/>
    </row>
    <row r="541" spans="5:5" ht="15.75" customHeight="1" x14ac:dyDescent="0.15">
      <c r="E541" s="292"/>
    </row>
    <row r="542" spans="5:5" ht="15.75" customHeight="1" x14ac:dyDescent="0.15">
      <c r="E542" s="292"/>
    </row>
    <row r="543" spans="5:5" ht="15.75" customHeight="1" x14ac:dyDescent="0.15">
      <c r="E543" s="292"/>
    </row>
    <row r="544" spans="5:5" ht="15.75" customHeight="1" x14ac:dyDescent="0.15">
      <c r="E544" s="292"/>
    </row>
    <row r="545" spans="5:5" ht="15.75" customHeight="1" x14ac:dyDescent="0.15">
      <c r="E545" s="292"/>
    </row>
    <row r="546" spans="5:5" ht="15.75" customHeight="1" x14ac:dyDescent="0.15">
      <c r="E546" s="292"/>
    </row>
    <row r="547" spans="5:5" ht="15.75" customHeight="1" x14ac:dyDescent="0.15">
      <c r="E547" s="292"/>
    </row>
    <row r="548" spans="5:5" ht="15.75" customHeight="1" x14ac:dyDescent="0.15">
      <c r="E548" s="292"/>
    </row>
    <row r="549" spans="5:5" ht="15.75" customHeight="1" x14ac:dyDescent="0.15">
      <c r="E549" s="292"/>
    </row>
    <row r="550" spans="5:5" ht="15.75" customHeight="1" x14ac:dyDescent="0.15">
      <c r="E550" s="292"/>
    </row>
    <row r="551" spans="5:5" ht="15.75" customHeight="1" x14ac:dyDescent="0.15">
      <c r="E551" s="292"/>
    </row>
    <row r="552" spans="5:5" ht="15.75" customHeight="1" x14ac:dyDescent="0.15">
      <c r="E552" s="292"/>
    </row>
    <row r="553" spans="5:5" ht="15.75" customHeight="1" x14ac:dyDescent="0.15">
      <c r="E553" s="292"/>
    </row>
    <row r="554" spans="5:5" ht="15.75" customHeight="1" x14ac:dyDescent="0.15">
      <c r="E554" s="292"/>
    </row>
    <row r="555" spans="5:5" ht="15.75" customHeight="1" x14ac:dyDescent="0.15">
      <c r="E555" s="292"/>
    </row>
    <row r="556" spans="5:5" ht="15.75" customHeight="1" x14ac:dyDescent="0.15">
      <c r="E556" s="292"/>
    </row>
    <row r="557" spans="5:5" ht="15.75" customHeight="1" x14ac:dyDescent="0.15">
      <c r="E557" s="292"/>
    </row>
    <row r="558" spans="5:5" ht="15.75" customHeight="1" x14ac:dyDescent="0.15">
      <c r="E558" s="292"/>
    </row>
    <row r="559" spans="5:5" ht="15.75" customHeight="1" x14ac:dyDescent="0.15">
      <c r="E559" s="292"/>
    </row>
    <row r="560" spans="5:5" ht="15.75" customHeight="1" x14ac:dyDescent="0.15">
      <c r="E560" s="292"/>
    </row>
    <row r="561" spans="5:5" ht="15.75" customHeight="1" x14ac:dyDescent="0.15">
      <c r="E561" s="292"/>
    </row>
    <row r="562" spans="5:5" ht="15.75" customHeight="1" x14ac:dyDescent="0.15">
      <c r="E562" s="292"/>
    </row>
    <row r="563" spans="5:5" ht="15.75" customHeight="1" x14ac:dyDescent="0.15">
      <c r="E563" s="292"/>
    </row>
    <row r="564" spans="5:5" ht="15.75" customHeight="1" x14ac:dyDescent="0.15">
      <c r="E564" s="292"/>
    </row>
    <row r="565" spans="5:5" ht="15.75" customHeight="1" x14ac:dyDescent="0.15">
      <c r="E565" s="292"/>
    </row>
    <row r="566" spans="5:5" ht="15.75" customHeight="1" x14ac:dyDescent="0.15">
      <c r="E566" s="292"/>
    </row>
    <row r="567" spans="5:5" ht="15.75" customHeight="1" x14ac:dyDescent="0.15">
      <c r="E567" s="292"/>
    </row>
    <row r="568" spans="5:5" ht="15.75" customHeight="1" x14ac:dyDescent="0.15">
      <c r="E568" s="292"/>
    </row>
    <row r="569" spans="5:5" ht="15.75" customHeight="1" x14ac:dyDescent="0.15">
      <c r="E569" s="292"/>
    </row>
    <row r="570" spans="5:5" ht="15.75" customHeight="1" x14ac:dyDescent="0.15">
      <c r="E570" s="292"/>
    </row>
    <row r="571" spans="5:5" ht="15.75" customHeight="1" x14ac:dyDescent="0.15">
      <c r="E571" s="292"/>
    </row>
    <row r="572" spans="5:5" ht="15.75" customHeight="1" x14ac:dyDescent="0.15">
      <c r="E572" s="292"/>
    </row>
    <row r="573" spans="5:5" ht="15.75" customHeight="1" x14ac:dyDescent="0.15">
      <c r="E573" s="292"/>
    </row>
    <row r="574" spans="5:5" ht="15.75" customHeight="1" x14ac:dyDescent="0.15">
      <c r="E574" s="292"/>
    </row>
    <row r="575" spans="5:5" ht="15.75" customHeight="1" x14ac:dyDescent="0.15">
      <c r="E575" s="292"/>
    </row>
    <row r="576" spans="5:5" ht="15.75" customHeight="1" x14ac:dyDescent="0.15">
      <c r="E576" s="292"/>
    </row>
    <row r="577" spans="5:5" ht="15.75" customHeight="1" x14ac:dyDescent="0.15">
      <c r="E577" s="292"/>
    </row>
    <row r="578" spans="5:5" ht="15.75" customHeight="1" x14ac:dyDescent="0.15">
      <c r="E578" s="292"/>
    </row>
    <row r="579" spans="5:5" ht="15.75" customHeight="1" x14ac:dyDescent="0.15">
      <c r="E579" s="292"/>
    </row>
    <row r="580" spans="5:5" ht="15.75" customHeight="1" x14ac:dyDescent="0.15">
      <c r="E580" s="292"/>
    </row>
    <row r="581" spans="5:5" ht="15.75" customHeight="1" x14ac:dyDescent="0.15">
      <c r="E581" s="292"/>
    </row>
    <row r="582" spans="5:5" ht="15.75" customHeight="1" x14ac:dyDescent="0.15">
      <c r="E582" s="292"/>
    </row>
    <row r="583" spans="5:5" ht="15.75" customHeight="1" x14ac:dyDescent="0.15">
      <c r="E583" s="292"/>
    </row>
    <row r="584" spans="5:5" ht="15.75" customHeight="1" x14ac:dyDescent="0.15">
      <c r="E584" s="292"/>
    </row>
    <row r="585" spans="5:5" ht="15.75" customHeight="1" x14ac:dyDescent="0.15">
      <c r="E585" s="292"/>
    </row>
    <row r="586" spans="5:5" ht="15.75" customHeight="1" x14ac:dyDescent="0.15">
      <c r="E586" s="292"/>
    </row>
    <row r="587" spans="5:5" ht="15.75" customHeight="1" x14ac:dyDescent="0.15">
      <c r="E587" s="292"/>
    </row>
    <row r="588" spans="5:5" ht="15.75" customHeight="1" x14ac:dyDescent="0.15">
      <c r="E588" s="292"/>
    </row>
    <row r="589" spans="5:5" ht="15.75" customHeight="1" x14ac:dyDescent="0.15">
      <c r="E589" s="292"/>
    </row>
    <row r="590" spans="5:5" ht="15.75" customHeight="1" x14ac:dyDescent="0.15">
      <c r="E590" s="292"/>
    </row>
    <row r="591" spans="5:5" ht="15.75" customHeight="1" x14ac:dyDescent="0.15">
      <c r="E591" s="292"/>
    </row>
    <row r="592" spans="5:5" ht="15.75" customHeight="1" x14ac:dyDescent="0.15">
      <c r="E592" s="292"/>
    </row>
    <row r="593" spans="5:5" ht="15.75" customHeight="1" x14ac:dyDescent="0.15">
      <c r="E593" s="292"/>
    </row>
    <row r="594" spans="5:5" ht="15.75" customHeight="1" x14ac:dyDescent="0.15">
      <c r="E594" s="292"/>
    </row>
    <row r="595" spans="5:5" ht="15.75" customHeight="1" x14ac:dyDescent="0.15">
      <c r="E595" s="292"/>
    </row>
    <row r="596" spans="5:5" ht="15.75" customHeight="1" x14ac:dyDescent="0.15">
      <c r="E596" s="292"/>
    </row>
    <row r="597" spans="5:5" ht="15.75" customHeight="1" x14ac:dyDescent="0.15">
      <c r="E597" s="292"/>
    </row>
    <row r="598" spans="5:5" ht="15.75" customHeight="1" x14ac:dyDescent="0.15">
      <c r="E598" s="292"/>
    </row>
    <row r="599" spans="5:5" ht="15.75" customHeight="1" x14ac:dyDescent="0.15">
      <c r="E599" s="292"/>
    </row>
    <row r="600" spans="5:5" ht="15.75" customHeight="1" x14ac:dyDescent="0.15">
      <c r="E600" s="292"/>
    </row>
    <row r="601" spans="5:5" ht="15.75" customHeight="1" x14ac:dyDescent="0.15">
      <c r="E601" s="292"/>
    </row>
    <row r="602" spans="5:5" ht="15.75" customHeight="1" x14ac:dyDescent="0.15">
      <c r="E602" s="292"/>
    </row>
    <row r="603" spans="5:5" ht="15.75" customHeight="1" x14ac:dyDescent="0.15">
      <c r="E603" s="292"/>
    </row>
    <row r="604" spans="5:5" ht="15.75" customHeight="1" x14ac:dyDescent="0.15">
      <c r="E604" s="292"/>
    </row>
    <row r="605" spans="5:5" ht="15.75" customHeight="1" x14ac:dyDescent="0.15">
      <c r="E605" s="292"/>
    </row>
    <row r="606" spans="5:5" ht="15.75" customHeight="1" x14ac:dyDescent="0.15">
      <c r="E606" s="292"/>
    </row>
    <row r="607" spans="5:5" ht="15.75" customHeight="1" x14ac:dyDescent="0.15">
      <c r="E607" s="292"/>
    </row>
    <row r="608" spans="5:5" ht="15.75" customHeight="1" x14ac:dyDescent="0.15">
      <c r="E608" s="292"/>
    </row>
    <row r="609" spans="5:5" ht="15.75" customHeight="1" x14ac:dyDescent="0.15">
      <c r="E609" s="292"/>
    </row>
    <row r="610" spans="5:5" ht="15.75" customHeight="1" x14ac:dyDescent="0.15">
      <c r="E610" s="292"/>
    </row>
    <row r="611" spans="5:5" ht="15.75" customHeight="1" x14ac:dyDescent="0.15">
      <c r="E611" s="292"/>
    </row>
    <row r="612" spans="5:5" ht="15.75" customHeight="1" x14ac:dyDescent="0.15">
      <c r="E612" s="292"/>
    </row>
    <row r="613" spans="5:5" ht="15.75" customHeight="1" x14ac:dyDescent="0.15">
      <c r="E613" s="292"/>
    </row>
    <row r="614" spans="5:5" ht="15.75" customHeight="1" x14ac:dyDescent="0.15">
      <c r="E614" s="292"/>
    </row>
    <row r="615" spans="5:5" ht="15.75" customHeight="1" x14ac:dyDescent="0.15">
      <c r="E615" s="292"/>
    </row>
    <row r="616" spans="5:5" ht="15.75" customHeight="1" x14ac:dyDescent="0.15">
      <c r="E616" s="292"/>
    </row>
    <row r="617" spans="5:5" ht="15.75" customHeight="1" x14ac:dyDescent="0.15">
      <c r="E617" s="292"/>
    </row>
    <row r="618" spans="5:5" ht="15.75" customHeight="1" x14ac:dyDescent="0.15">
      <c r="E618" s="292"/>
    </row>
    <row r="619" spans="5:5" ht="15.75" customHeight="1" x14ac:dyDescent="0.15">
      <c r="E619" s="292"/>
    </row>
    <row r="620" spans="5:5" ht="15.75" customHeight="1" x14ac:dyDescent="0.15">
      <c r="E620" s="292"/>
    </row>
    <row r="621" spans="5:5" ht="15.75" customHeight="1" x14ac:dyDescent="0.15">
      <c r="E621" s="292"/>
    </row>
    <row r="622" spans="5:5" ht="15.75" customHeight="1" x14ac:dyDescent="0.15">
      <c r="E622" s="292"/>
    </row>
    <row r="623" spans="5:5" ht="15.75" customHeight="1" x14ac:dyDescent="0.15">
      <c r="E623" s="292"/>
    </row>
    <row r="624" spans="5:5" ht="15.75" customHeight="1" x14ac:dyDescent="0.15">
      <c r="E624" s="292"/>
    </row>
    <row r="625" spans="5:5" ht="15.75" customHeight="1" x14ac:dyDescent="0.15">
      <c r="E625" s="292"/>
    </row>
    <row r="626" spans="5:5" ht="15.75" customHeight="1" x14ac:dyDescent="0.15">
      <c r="E626" s="292"/>
    </row>
    <row r="627" spans="5:5" ht="15.75" customHeight="1" x14ac:dyDescent="0.15">
      <c r="E627" s="292"/>
    </row>
    <row r="628" spans="5:5" ht="15.75" customHeight="1" x14ac:dyDescent="0.15">
      <c r="E628" s="292"/>
    </row>
    <row r="629" spans="5:5" ht="15.75" customHeight="1" x14ac:dyDescent="0.15">
      <c r="E629" s="292"/>
    </row>
    <row r="630" spans="5:5" ht="15.75" customHeight="1" x14ac:dyDescent="0.15">
      <c r="E630" s="292"/>
    </row>
    <row r="631" spans="5:5" ht="15.75" customHeight="1" x14ac:dyDescent="0.15">
      <c r="E631" s="292"/>
    </row>
    <row r="632" spans="5:5" ht="15.75" customHeight="1" x14ac:dyDescent="0.15">
      <c r="E632" s="292"/>
    </row>
    <row r="633" spans="5:5" ht="15.75" customHeight="1" x14ac:dyDescent="0.15">
      <c r="E633" s="292"/>
    </row>
    <row r="634" spans="5:5" ht="15.75" customHeight="1" x14ac:dyDescent="0.15">
      <c r="E634" s="292"/>
    </row>
    <row r="635" spans="5:5" ht="15.75" customHeight="1" x14ac:dyDescent="0.15">
      <c r="E635" s="292"/>
    </row>
    <row r="636" spans="5:5" ht="15.75" customHeight="1" x14ac:dyDescent="0.15">
      <c r="E636" s="292"/>
    </row>
    <row r="637" spans="5:5" ht="15.75" customHeight="1" x14ac:dyDescent="0.15">
      <c r="E637" s="292"/>
    </row>
    <row r="638" spans="5:5" ht="15.75" customHeight="1" x14ac:dyDescent="0.15">
      <c r="E638" s="292"/>
    </row>
    <row r="639" spans="5:5" ht="15.75" customHeight="1" x14ac:dyDescent="0.15">
      <c r="E639" s="292"/>
    </row>
    <row r="640" spans="5:5" ht="15.75" customHeight="1" x14ac:dyDescent="0.15">
      <c r="E640" s="292"/>
    </row>
    <row r="641" spans="5:5" ht="15.75" customHeight="1" x14ac:dyDescent="0.15">
      <c r="E641" s="292"/>
    </row>
    <row r="642" spans="5:5" ht="15.75" customHeight="1" x14ac:dyDescent="0.15">
      <c r="E642" s="292"/>
    </row>
    <row r="643" spans="5:5" ht="15.75" customHeight="1" x14ac:dyDescent="0.15">
      <c r="E643" s="292"/>
    </row>
    <row r="644" spans="5:5" ht="15.75" customHeight="1" x14ac:dyDescent="0.15">
      <c r="E644" s="292"/>
    </row>
    <row r="645" spans="5:5" ht="15.75" customHeight="1" x14ac:dyDescent="0.15">
      <c r="E645" s="292"/>
    </row>
    <row r="646" spans="5:5" ht="15.75" customHeight="1" x14ac:dyDescent="0.15">
      <c r="E646" s="292"/>
    </row>
    <row r="647" spans="5:5" ht="15.75" customHeight="1" x14ac:dyDescent="0.15">
      <c r="E647" s="292"/>
    </row>
    <row r="648" spans="5:5" ht="15.75" customHeight="1" x14ac:dyDescent="0.15">
      <c r="E648" s="292"/>
    </row>
    <row r="649" spans="5:5" ht="15.75" customHeight="1" x14ac:dyDescent="0.15">
      <c r="E649" s="292"/>
    </row>
    <row r="650" spans="5:5" ht="15.75" customHeight="1" x14ac:dyDescent="0.15">
      <c r="E650" s="292"/>
    </row>
    <row r="651" spans="5:5" ht="15.75" customHeight="1" x14ac:dyDescent="0.15">
      <c r="E651" s="292"/>
    </row>
    <row r="652" spans="5:5" ht="15.75" customHeight="1" x14ac:dyDescent="0.15">
      <c r="E652" s="292"/>
    </row>
    <row r="653" spans="5:5" ht="15.75" customHeight="1" x14ac:dyDescent="0.15">
      <c r="E653" s="292"/>
    </row>
    <row r="654" spans="5:5" ht="15.75" customHeight="1" x14ac:dyDescent="0.15">
      <c r="E654" s="292"/>
    </row>
    <row r="655" spans="5:5" ht="15.75" customHeight="1" x14ac:dyDescent="0.15">
      <c r="E655" s="292"/>
    </row>
    <row r="656" spans="5:5" ht="15.75" customHeight="1" x14ac:dyDescent="0.15">
      <c r="E656" s="292"/>
    </row>
    <row r="657" spans="5:5" ht="15.75" customHeight="1" x14ac:dyDescent="0.15">
      <c r="E657" s="292"/>
    </row>
    <row r="658" spans="5:5" ht="15.75" customHeight="1" x14ac:dyDescent="0.15">
      <c r="E658" s="292"/>
    </row>
    <row r="659" spans="5:5" ht="15.75" customHeight="1" x14ac:dyDescent="0.15">
      <c r="E659" s="292"/>
    </row>
    <row r="660" spans="5:5" ht="15.75" customHeight="1" x14ac:dyDescent="0.15">
      <c r="E660" s="292"/>
    </row>
    <row r="661" spans="5:5" ht="15.75" customHeight="1" x14ac:dyDescent="0.15">
      <c r="E661" s="292"/>
    </row>
    <row r="662" spans="5:5" ht="15.75" customHeight="1" x14ac:dyDescent="0.15">
      <c r="E662" s="292"/>
    </row>
    <row r="663" spans="5:5" ht="15.75" customHeight="1" x14ac:dyDescent="0.15">
      <c r="E663" s="292"/>
    </row>
    <row r="664" spans="5:5" ht="15.75" customHeight="1" x14ac:dyDescent="0.15">
      <c r="E664" s="292"/>
    </row>
    <row r="665" spans="5:5" ht="15.75" customHeight="1" x14ac:dyDescent="0.15">
      <c r="E665" s="292"/>
    </row>
    <row r="666" spans="5:5" ht="15.75" customHeight="1" x14ac:dyDescent="0.15">
      <c r="E666" s="292"/>
    </row>
    <row r="667" spans="5:5" ht="15.75" customHeight="1" x14ac:dyDescent="0.15">
      <c r="E667" s="292"/>
    </row>
    <row r="668" spans="5:5" ht="15.75" customHeight="1" x14ac:dyDescent="0.15">
      <c r="E668" s="292"/>
    </row>
    <row r="669" spans="5:5" ht="15.75" customHeight="1" x14ac:dyDescent="0.15">
      <c r="E669" s="292"/>
    </row>
    <row r="670" spans="5:5" ht="15.75" customHeight="1" x14ac:dyDescent="0.15">
      <c r="E670" s="292"/>
    </row>
    <row r="671" spans="5:5" ht="15.75" customHeight="1" x14ac:dyDescent="0.15">
      <c r="E671" s="292"/>
    </row>
    <row r="672" spans="5:5" ht="15.75" customHeight="1" x14ac:dyDescent="0.15">
      <c r="E672" s="292"/>
    </row>
    <row r="673" spans="5:5" ht="15.75" customHeight="1" x14ac:dyDescent="0.15">
      <c r="E673" s="292"/>
    </row>
    <row r="674" spans="5:5" ht="15.75" customHeight="1" x14ac:dyDescent="0.15">
      <c r="E674" s="292"/>
    </row>
    <row r="675" spans="5:5" ht="15.75" customHeight="1" x14ac:dyDescent="0.15">
      <c r="E675" s="292"/>
    </row>
    <row r="676" spans="5:5" ht="15.75" customHeight="1" x14ac:dyDescent="0.15">
      <c r="E676" s="292"/>
    </row>
    <row r="677" spans="5:5" ht="15.75" customHeight="1" x14ac:dyDescent="0.15">
      <c r="E677" s="292"/>
    </row>
    <row r="678" spans="5:5" ht="15.75" customHeight="1" x14ac:dyDescent="0.15">
      <c r="E678" s="292"/>
    </row>
    <row r="679" spans="5:5" ht="15.75" customHeight="1" x14ac:dyDescent="0.15">
      <c r="E679" s="292"/>
    </row>
    <row r="680" spans="5:5" ht="15.75" customHeight="1" x14ac:dyDescent="0.15">
      <c r="E680" s="292"/>
    </row>
    <row r="681" spans="5:5" ht="15.75" customHeight="1" x14ac:dyDescent="0.15">
      <c r="E681" s="292"/>
    </row>
    <row r="682" spans="5:5" ht="15.75" customHeight="1" x14ac:dyDescent="0.15">
      <c r="E682" s="292"/>
    </row>
    <row r="683" spans="5:5" ht="15.75" customHeight="1" x14ac:dyDescent="0.15">
      <c r="E683" s="292"/>
    </row>
    <row r="684" spans="5:5" ht="15.75" customHeight="1" x14ac:dyDescent="0.15">
      <c r="E684" s="292"/>
    </row>
    <row r="685" spans="5:5" ht="15.75" customHeight="1" x14ac:dyDescent="0.15">
      <c r="E685" s="292"/>
    </row>
    <row r="686" spans="5:5" ht="15.75" customHeight="1" x14ac:dyDescent="0.15">
      <c r="E686" s="292"/>
    </row>
    <row r="687" spans="5:5" ht="15.75" customHeight="1" x14ac:dyDescent="0.15">
      <c r="E687" s="292"/>
    </row>
    <row r="688" spans="5:5" ht="15.75" customHeight="1" x14ac:dyDescent="0.15">
      <c r="E688" s="292"/>
    </row>
    <row r="689" spans="5:5" ht="15.75" customHeight="1" x14ac:dyDescent="0.15">
      <c r="E689" s="292"/>
    </row>
    <row r="690" spans="5:5" ht="15.75" customHeight="1" x14ac:dyDescent="0.15">
      <c r="E690" s="292"/>
    </row>
    <row r="691" spans="5:5" ht="15.75" customHeight="1" x14ac:dyDescent="0.15">
      <c r="E691" s="292"/>
    </row>
    <row r="692" spans="5:5" ht="15.75" customHeight="1" x14ac:dyDescent="0.15">
      <c r="E692" s="292"/>
    </row>
    <row r="693" spans="5:5" ht="15.75" customHeight="1" x14ac:dyDescent="0.15">
      <c r="E693" s="292"/>
    </row>
    <row r="694" spans="5:5" ht="15.75" customHeight="1" x14ac:dyDescent="0.15">
      <c r="E694" s="292"/>
    </row>
    <row r="695" spans="5:5" ht="15.75" customHeight="1" x14ac:dyDescent="0.15">
      <c r="E695" s="292"/>
    </row>
    <row r="696" spans="5:5" ht="15.75" customHeight="1" x14ac:dyDescent="0.15">
      <c r="E696" s="292"/>
    </row>
    <row r="697" spans="5:5" ht="15.75" customHeight="1" x14ac:dyDescent="0.15">
      <c r="E697" s="292"/>
    </row>
    <row r="698" spans="5:5" ht="15.75" customHeight="1" x14ac:dyDescent="0.15">
      <c r="E698" s="292"/>
    </row>
    <row r="699" spans="5:5" ht="15.75" customHeight="1" x14ac:dyDescent="0.15">
      <c r="E699" s="292"/>
    </row>
    <row r="700" spans="5:5" ht="15.75" customHeight="1" x14ac:dyDescent="0.15">
      <c r="E700" s="292"/>
    </row>
    <row r="701" spans="5:5" ht="15.75" customHeight="1" x14ac:dyDescent="0.15">
      <c r="E701" s="292"/>
    </row>
    <row r="702" spans="5:5" ht="15.75" customHeight="1" x14ac:dyDescent="0.15">
      <c r="E702" s="292"/>
    </row>
    <row r="703" spans="5:5" ht="15.75" customHeight="1" x14ac:dyDescent="0.15">
      <c r="E703" s="292"/>
    </row>
    <row r="704" spans="5:5" ht="15.75" customHeight="1" x14ac:dyDescent="0.15">
      <c r="E704" s="292"/>
    </row>
    <row r="705" spans="5:5" ht="15.75" customHeight="1" x14ac:dyDescent="0.15">
      <c r="E705" s="292"/>
    </row>
    <row r="706" spans="5:5" ht="15.75" customHeight="1" x14ac:dyDescent="0.15">
      <c r="E706" s="292"/>
    </row>
    <row r="707" spans="5:5" ht="15.75" customHeight="1" x14ac:dyDescent="0.15">
      <c r="E707" s="292"/>
    </row>
    <row r="708" spans="5:5" ht="15.75" customHeight="1" x14ac:dyDescent="0.15">
      <c r="E708" s="292"/>
    </row>
    <row r="709" spans="5:5" ht="15.75" customHeight="1" x14ac:dyDescent="0.15">
      <c r="E709" s="292"/>
    </row>
    <row r="710" spans="5:5" ht="15.75" customHeight="1" x14ac:dyDescent="0.15">
      <c r="E710" s="292"/>
    </row>
    <row r="711" spans="5:5" ht="15.75" customHeight="1" x14ac:dyDescent="0.15">
      <c r="E711" s="292"/>
    </row>
    <row r="712" spans="5:5" ht="15.75" customHeight="1" x14ac:dyDescent="0.15">
      <c r="E712" s="292"/>
    </row>
    <row r="713" spans="5:5" ht="15.75" customHeight="1" x14ac:dyDescent="0.15">
      <c r="E713" s="292"/>
    </row>
    <row r="714" spans="5:5" ht="15.75" customHeight="1" x14ac:dyDescent="0.15">
      <c r="E714" s="292"/>
    </row>
    <row r="715" spans="5:5" ht="15.75" customHeight="1" x14ac:dyDescent="0.15">
      <c r="E715" s="292"/>
    </row>
    <row r="716" spans="5:5" ht="15.75" customHeight="1" x14ac:dyDescent="0.15">
      <c r="E716" s="292"/>
    </row>
    <row r="717" spans="5:5" ht="15.75" customHeight="1" x14ac:dyDescent="0.15">
      <c r="E717" s="292"/>
    </row>
    <row r="718" spans="5:5" ht="15.75" customHeight="1" x14ac:dyDescent="0.15">
      <c r="E718" s="292"/>
    </row>
    <row r="719" spans="5:5" ht="15.75" customHeight="1" x14ac:dyDescent="0.15">
      <c r="E719" s="292"/>
    </row>
    <row r="720" spans="5:5" ht="15.75" customHeight="1" x14ac:dyDescent="0.15">
      <c r="E720" s="292"/>
    </row>
    <row r="721" spans="5:5" ht="15.75" customHeight="1" x14ac:dyDescent="0.15">
      <c r="E721" s="292"/>
    </row>
    <row r="722" spans="5:5" ht="15.75" customHeight="1" x14ac:dyDescent="0.15">
      <c r="E722" s="292"/>
    </row>
    <row r="723" spans="5:5" ht="15.75" customHeight="1" x14ac:dyDescent="0.15">
      <c r="E723" s="292"/>
    </row>
    <row r="724" spans="5:5" ht="15.75" customHeight="1" x14ac:dyDescent="0.15">
      <c r="E724" s="292"/>
    </row>
    <row r="725" spans="5:5" ht="15.75" customHeight="1" x14ac:dyDescent="0.15">
      <c r="E725" s="292"/>
    </row>
    <row r="726" spans="5:5" ht="15.75" customHeight="1" x14ac:dyDescent="0.15">
      <c r="E726" s="292"/>
    </row>
    <row r="727" spans="5:5" ht="15.75" customHeight="1" x14ac:dyDescent="0.15">
      <c r="E727" s="292"/>
    </row>
    <row r="728" spans="5:5" ht="15.75" customHeight="1" x14ac:dyDescent="0.15">
      <c r="E728" s="292"/>
    </row>
    <row r="729" spans="5:5" ht="15.75" customHeight="1" x14ac:dyDescent="0.15">
      <c r="E729" s="292"/>
    </row>
    <row r="730" spans="5:5" ht="15.75" customHeight="1" x14ac:dyDescent="0.15">
      <c r="E730" s="292"/>
    </row>
    <row r="731" spans="5:5" ht="15.75" customHeight="1" x14ac:dyDescent="0.15">
      <c r="E731" s="292"/>
    </row>
    <row r="732" spans="5:5" ht="15.75" customHeight="1" x14ac:dyDescent="0.15">
      <c r="E732" s="292"/>
    </row>
    <row r="733" spans="5:5" ht="15.75" customHeight="1" x14ac:dyDescent="0.15">
      <c r="E733" s="292"/>
    </row>
    <row r="734" spans="5:5" ht="15.75" customHeight="1" x14ac:dyDescent="0.15">
      <c r="E734" s="292"/>
    </row>
    <row r="735" spans="5:5" ht="15.75" customHeight="1" x14ac:dyDescent="0.15">
      <c r="E735" s="292"/>
    </row>
    <row r="736" spans="5:5" ht="15.75" customHeight="1" x14ac:dyDescent="0.15">
      <c r="E736" s="292"/>
    </row>
    <row r="737" spans="5:5" ht="15.75" customHeight="1" x14ac:dyDescent="0.15">
      <c r="E737" s="292"/>
    </row>
    <row r="738" spans="5:5" ht="15.75" customHeight="1" x14ac:dyDescent="0.15">
      <c r="E738" s="292"/>
    </row>
    <row r="739" spans="5:5" ht="15.75" customHeight="1" x14ac:dyDescent="0.15">
      <c r="E739" s="292"/>
    </row>
    <row r="740" spans="5:5" ht="15.75" customHeight="1" x14ac:dyDescent="0.15">
      <c r="E740" s="292"/>
    </row>
    <row r="741" spans="5:5" ht="15.75" customHeight="1" x14ac:dyDescent="0.15">
      <c r="E741" s="292"/>
    </row>
    <row r="742" spans="5:5" ht="15.75" customHeight="1" x14ac:dyDescent="0.15">
      <c r="E742" s="292"/>
    </row>
    <row r="743" spans="5:5" ht="15.75" customHeight="1" x14ac:dyDescent="0.15">
      <c r="E743" s="292"/>
    </row>
    <row r="744" spans="5:5" ht="15.75" customHeight="1" x14ac:dyDescent="0.15">
      <c r="E744" s="292"/>
    </row>
    <row r="745" spans="5:5" ht="15.75" customHeight="1" x14ac:dyDescent="0.15">
      <c r="E745" s="292"/>
    </row>
    <row r="746" spans="5:5" ht="15.75" customHeight="1" x14ac:dyDescent="0.15">
      <c r="E746" s="292"/>
    </row>
    <row r="747" spans="5:5" ht="15.75" customHeight="1" x14ac:dyDescent="0.15">
      <c r="E747" s="292"/>
    </row>
    <row r="748" spans="5:5" ht="15.75" customHeight="1" x14ac:dyDescent="0.15">
      <c r="E748" s="292"/>
    </row>
    <row r="749" spans="5:5" ht="15.75" customHeight="1" x14ac:dyDescent="0.15">
      <c r="E749" s="292"/>
    </row>
    <row r="750" spans="5:5" ht="15.75" customHeight="1" x14ac:dyDescent="0.15">
      <c r="E750" s="292"/>
    </row>
    <row r="751" spans="5:5" ht="15.75" customHeight="1" x14ac:dyDescent="0.15">
      <c r="E751" s="292"/>
    </row>
    <row r="752" spans="5:5" ht="15.75" customHeight="1" x14ac:dyDescent="0.15">
      <c r="E752" s="292"/>
    </row>
    <row r="753" spans="5:5" ht="15.75" customHeight="1" x14ac:dyDescent="0.15">
      <c r="E753" s="292"/>
    </row>
    <row r="754" spans="5:5" ht="15.75" customHeight="1" x14ac:dyDescent="0.15">
      <c r="E754" s="292"/>
    </row>
    <row r="755" spans="5:5" ht="15.75" customHeight="1" x14ac:dyDescent="0.15">
      <c r="E755" s="292"/>
    </row>
    <row r="756" spans="5:5" ht="15.75" customHeight="1" x14ac:dyDescent="0.15">
      <c r="E756" s="292"/>
    </row>
    <row r="757" spans="5:5" ht="15.75" customHeight="1" x14ac:dyDescent="0.15">
      <c r="E757" s="292"/>
    </row>
    <row r="758" spans="5:5" ht="15.75" customHeight="1" x14ac:dyDescent="0.15">
      <c r="E758" s="292"/>
    </row>
    <row r="759" spans="5:5" ht="15.75" customHeight="1" x14ac:dyDescent="0.15">
      <c r="E759" s="292"/>
    </row>
    <row r="760" spans="5:5" ht="15.75" customHeight="1" x14ac:dyDescent="0.15">
      <c r="E760" s="292"/>
    </row>
    <row r="761" spans="5:5" ht="15.75" customHeight="1" x14ac:dyDescent="0.15">
      <c r="E761" s="292"/>
    </row>
    <row r="762" spans="5:5" ht="15.75" customHeight="1" x14ac:dyDescent="0.15">
      <c r="E762" s="292"/>
    </row>
    <row r="763" spans="5:5" ht="15.75" customHeight="1" x14ac:dyDescent="0.15">
      <c r="E763" s="292"/>
    </row>
    <row r="764" spans="5:5" ht="15.75" customHeight="1" x14ac:dyDescent="0.15">
      <c r="E764" s="292"/>
    </row>
    <row r="765" spans="5:5" ht="15.75" customHeight="1" x14ac:dyDescent="0.15">
      <c r="E765" s="292"/>
    </row>
    <row r="766" spans="5:5" ht="15.75" customHeight="1" x14ac:dyDescent="0.15">
      <c r="E766" s="292"/>
    </row>
    <row r="767" spans="5:5" ht="15.75" customHeight="1" x14ac:dyDescent="0.15">
      <c r="E767" s="292"/>
    </row>
    <row r="768" spans="5:5" ht="15.75" customHeight="1" x14ac:dyDescent="0.15">
      <c r="E768" s="292"/>
    </row>
    <row r="769" spans="5:5" ht="15.75" customHeight="1" x14ac:dyDescent="0.15">
      <c r="E769" s="292"/>
    </row>
    <row r="770" spans="5:5" ht="15.75" customHeight="1" x14ac:dyDescent="0.15">
      <c r="E770" s="292"/>
    </row>
    <row r="771" spans="5:5" ht="15.75" customHeight="1" x14ac:dyDescent="0.15">
      <c r="E771" s="292"/>
    </row>
    <row r="772" spans="5:5" ht="15.75" customHeight="1" x14ac:dyDescent="0.15">
      <c r="E772" s="292"/>
    </row>
    <row r="773" spans="5:5" ht="15.75" customHeight="1" x14ac:dyDescent="0.15">
      <c r="E773" s="292"/>
    </row>
    <row r="774" spans="5:5" ht="15.75" customHeight="1" x14ac:dyDescent="0.15">
      <c r="E774" s="292"/>
    </row>
    <row r="775" spans="5:5" ht="15.75" customHeight="1" x14ac:dyDescent="0.15">
      <c r="E775" s="292"/>
    </row>
    <row r="776" spans="5:5" ht="15.75" customHeight="1" x14ac:dyDescent="0.15">
      <c r="E776" s="292"/>
    </row>
    <row r="777" spans="5:5" ht="15.75" customHeight="1" x14ac:dyDescent="0.15">
      <c r="E777" s="292"/>
    </row>
    <row r="778" spans="5:5" ht="15.75" customHeight="1" x14ac:dyDescent="0.15">
      <c r="E778" s="292"/>
    </row>
    <row r="779" spans="5:5" ht="15.75" customHeight="1" x14ac:dyDescent="0.15">
      <c r="E779" s="292"/>
    </row>
    <row r="780" spans="5:5" ht="15.75" customHeight="1" x14ac:dyDescent="0.15">
      <c r="E780" s="292"/>
    </row>
    <row r="781" spans="5:5" ht="15.75" customHeight="1" x14ac:dyDescent="0.15">
      <c r="E781" s="292"/>
    </row>
    <row r="782" spans="5:5" ht="15.75" customHeight="1" x14ac:dyDescent="0.15">
      <c r="E782" s="292"/>
    </row>
    <row r="783" spans="5:5" ht="15.75" customHeight="1" x14ac:dyDescent="0.15">
      <c r="E783" s="292"/>
    </row>
    <row r="784" spans="5:5" ht="15.75" customHeight="1" x14ac:dyDescent="0.15">
      <c r="E784" s="292"/>
    </row>
    <row r="785" spans="5:5" ht="15.75" customHeight="1" x14ac:dyDescent="0.15">
      <c r="E785" s="292"/>
    </row>
    <row r="786" spans="5:5" ht="15.75" customHeight="1" x14ac:dyDescent="0.15">
      <c r="E786" s="292"/>
    </row>
    <row r="787" spans="5:5" ht="15.75" customHeight="1" x14ac:dyDescent="0.15">
      <c r="E787" s="292"/>
    </row>
    <row r="788" spans="5:5" ht="15.75" customHeight="1" x14ac:dyDescent="0.15">
      <c r="E788" s="292"/>
    </row>
    <row r="789" spans="5:5" ht="15.75" customHeight="1" x14ac:dyDescent="0.15">
      <c r="E789" s="292"/>
    </row>
    <row r="790" spans="5:5" ht="15.75" customHeight="1" x14ac:dyDescent="0.15">
      <c r="E790" s="292"/>
    </row>
    <row r="791" spans="5:5" ht="15.75" customHeight="1" x14ac:dyDescent="0.15">
      <c r="E791" s="292"/>
    </row>
    <row r="792" spans="5:5" ht="15.75" customHeight="1" x14ac:dyDescent="0.15">
      <c r="E792" s="292"/>
    </row>
    <row r="793" spans="5:5" ht="15.75" customHeight="1" x14ac:dyDescent="0.15">
      <c r="E793" s="292"/>
    </row>
    <row r="794" spans="5:5" ht="15.75" customHeight="1" x14ac:dyDescent="0.15">
      <c r="E794" s="292"/>
    </row>
    <row r="795" spans="5:5" ht="15.75" customHeight="1" x14ac:dyDescent="0.15">
      <c r="E795" s="292"/>
    </row>
    <row r="796" spans="5:5" ht="15.75" customHeight="1" x14ac:dyDescent="0.15">
      <c r="E796" s="292"/>
    </row>
    <row r="797" spans="5:5" ht="15.75" customHeight="1" x14ac:dyDescent="0.15">
      <c r="E797" s="292"/>
    </row>
    <row r="798" spans="5:5" ht="15.75" customHeight="1" x14ac:dyDescent="0.15">
      <c r="E798" s="292"/>
    </row>
    <row r="799" spans="5:5" ht="15.75" customHeight="1" x14ac:dyDescent="0.15">
      <c r="E799" s="292"/>
    </row>
    <row r="800" spans="5:5" ht="15.75" customHeight="1" x14ac:dyDescent="0.15">
      <c r="E800" s="292"/>
    </row>
    <row r="801" spans="5:5" ht="15.75" customHeight="1" x14ac:dyDescent="0.15">
      <c r="E801" s="292"/>
    </row>
    <row r="802" spans="5:5" ht="15.75" customHeight="1" x14ac:dyDescent="0.15">
      <c r="E802" s="292"/>
    </row>
    <row r="803" spans="5:5" ht="15.75" customHeight="1" x14ac:dyDescent="0.15">
      <c r="E803" s="292"/>
    </row>
    <row r="804" spans="5:5" ht="15.75" customHeight="1" x14ac:dyDescent="0.15">
      <c r="E804" s="292"/>
    </row>
    <row r="805" spans="5:5" ht="15.75" customHeight="1" x14ac:dyDescent="0.15">
      <c r="E805" s="292"/>
    </row>
    <row r="806" spans="5:5" ht="15.75" customHeight="1" x14ac:dyDescent="0.15">
      <c r="E806" s="292"/>
    </row>
    <row r="807" spans="5:5" ht="15.75" customHeight="1" x14ac:dyDescent="0.15">
      <c r="E807" s="292"/>
    </row>
    <row r="808" spans="5:5" ht="15.75" customHeight="1" x14ac:dyDescent="0.15">
      <c r="E808" s="292"/>
    </row>
    <row r="809" spans="5:5" ht="15.75" customHeight="1" x14ac:dyDescent="0.15">
      <c r="E809" s="292"/>
    </row>
    <row r="810" spans="5:5" ht="15.75" customHeight="1" x14ac:dyDescent="0.15">
      <c r="E810" s="292"/>
    </row>
    <row r="811" spans="5:5" ht="15.75" customHeight="1" x14ac:dyDescent="0.15">
      <c r="E811" s="292"/>
    </row>
    <row r="812" spans="5:5" ht="15.75" customHeight="1" x14ac:dyDescent="0.15">
      <c r="E812" s="292"/>
    </row>
    <row r="813" spans="5:5" ht="15.75" customHeight="1" x14ac:dyDescent="0.15">
      <c r="E813" s="292"/>
    </row>
    <row r="814" spans="5:5" ht="15.75" customHeight="1" x14ac:dyDescent="0.15">
      <c r="E814" s="292"/>
    </row>
    <row r="815" spans="5:5" ht="15.75" customHeight="1" x14ac:dyDescent="0.15">
      <c r="E815" s="292"/>
    </row>
    <row r="816" spans="5:5" ht="15.75" customHeight="1" x14ac:dyDescent="0.15">
      <c r="E816" s="292"/>
    </row>
    <row r="817" spans="5:5" ht="15.75" customHeight="1" x14ac:dyDescent="0.15">
      <c r="E817" s="292"/>
    </row>
    <row r="818" spans="5:5" ht="15.75" customHeight="1" x14ac:dyDescent="0.15">
      <c r="E818" s="292"/>
    </row>
    <row r="819" spans="5:5" ht="15.75" customHeight="1" x14ac:dyDescent="0.15">
      <c r="E819" s="292"/>
    </row>
    <row r="820" spans="5:5" ht="15.75" customHeight="1" x14ac:dyDescent="0.15">
      <c r="E820" s="292"/>
    </row>
    <row r="821" spans="5:5" ht="15.75" customHeight="1" x14ac:dyDescent="0.15">
      <c r="E821" s="292"/>
    </row>
    <row r="822" spans="5:5" ht="15.75" customHeight="1" x14ac:dyDescent="0.15">
      <c r="E822" s="292"/>
    </row>
    <row r="823" spans="5:5" ht="15.75" customHeight="1" x14ac:dyDescent="0.15">
      <c r="E823" s="292"/>
    </row>
    <row r="824" spans="5:5" ht="15.75" customHeight="1" x14ac:dyDescent="0.15">
      <c r="E824" s="292"/>
    </row>
    <row r="825" spans="5:5" ht="15.75" customHeight="1" x14ac:dyDescent="0.15">
      <c r="E825" s="292"/>
    </row>
    <row r="826" spans="5:5" ht="15.75" customHeight="1" x14ac:dyDescent="0.15">
      <c r="E826" s="292"/>
    </row>
    <row r="827" spans="5:5" ht="15.75" customHeight="1" x14ac:dyDescent="0.15">
      <c r="E827" s="292"/>
    </row>
    <row r="828" spans="5:5" ht="15.75" customHeight="1" x14ac:dyDescent="0.15">
      <c r="E828" s="292"/>
    </row>
    <row r="829" spans="5:5" ht="15.75" customHeight="1" x14ac:dyDescent="0.15">
      <c r="E829" s="292"/>
    </row>
    <row r="830" spans="5:5" ht="15.75" customHeight="1" x14ac:dyDescent="0.15">
      <c r="E830" s="292"/>
    </row>
    <row r="831" spans="5:5" ht="15.75" customHeight="1" x14ac:dyDescent="0.15">
      <c r="E831" s="292"/>
    </row>
    <row r="832" spans="5:5" ht="15.75" customHeight="1" x14ac:dyDescent="0.15">
      <c r="E832" s="292"/>
    </row>
    <row r="833" spans="5:5" ht="15.75" customHeight="1" x14ac:dyDescent="0.15">
      <c r="E833" s="292"/>
    </row>
    <row r="834" spans="5:5" ht="15.75" customHeight="1" x14ac:dyDescent="0.15">
      <c r="E834" s="292"/>
    </row>
    <row r="835" spans="5:5" ht="15.75" customHeight="1" x14ac:dyDescent="0.15">
      <c r="E835" s="292"/>
    </row>
    <row r="836" spans="5:5" ht="15.75" customHeight="1" x14ac:dyDescent="0.15">
      <c r="E836" s="292"/>
    </row>
    <row r="837" spans="5:5" ht="15.75" customHeight="1" x14ac:dyDescent="0.15">
      <c r="E837" s="292"/>
    </row>
    <row r="838" spans="5:5" ht="15.75" customHeight="1" x14ac:dyDescent="0.15">
      <c r="E838" s="292"/>
    </row>
    <row r="839" spans="5:5" ht="15.75" customHeight="1" x14ac:dyDescent="0.15">
      <c r="E839" s="292"/>
    </row>
    <row r="840" spans="5:5" ht="15.75" customHeight="1" x14ac:dyDescent="0.15">
      <c r="E840" s="292"/>
    </row>
    <row r="841" spans="5:5" ht="15.75" customHeight="1" x14ac:dyDescent="0.15">
      <c r="E841" s="292"/>
    </row>
    <row r="842" spans="5:5" ht="15.75" customHeight="1" x14ac:dyDescent="0.15">
      <c r="E842" s="292"/>
    </row>
    <row r="843" spans="5:5" ht="15.75" customHeight="1" x14ac:dyDescent="0.15">
      <c r="E843" s="292"/>
    </row>
    <row r="844" spans="5:5" ht="15.75" customHeight="1" x14ac:dyDescent="0.15">
      <c r="E844" s="292"/>
    </row>
    <row r="845" spans="5:5" ht="15.75" customHeight="1" x14ac:dyDescent="0.15">
      <c r="E845" s="292"/>
    </row>
    <row r="846" spans="5:5" ht="15.75" customHeight="1" x14ac:dyDescent="0.15">
      <c r="E846" s="292"/>
    </row>
    <row r="847" spans="5:5" ht="15.75" customHeight="1" x14ac:dyDescent="0.15">
      <c r="E847" s="292"/>
    </row>
    <row r="848" spans="5:5" ht="15.75" customHeight="1" x14ac:dyDescent="0.15">
      <c r="E848" s="292"/>
    </row>
    <row r="849" spans="5:5" ht="15.75" customHeight="1" x14ac:dyDescent="0.15">
      <c r="E849" s="292"/>
    </row>
    <row r="850" spans="5:5" ht="15.75" customHeight="1" x14ac:dyDescent="0.15">
      <c r="E850" s="292"/>
    </row>
    <row r="851" spans="5:5" ht="15.75" customHeight="1" x14ac:dyDescent="0.15">
      <c r="E851" s="292"/>
    </row>
    <row r="852" spans="5:5" ht="15.75" customHeight="1" x14ac:dyDescent="0.15">
      <c r="E852" s="292"/>
    </row>
    <row r="853" spans="5:5" ht="15.75" customHeight="1" x14ac:dyDescent="0.15">
      <c r="E853" s="292"/>
    </row>
    <row r="854" spans="5:5" ht="15.75" customHeight="1" x14ac:dyDescent="0.15">
      <c r="E854" s="292"/>
    </row>
    <row r="855" spans="5:5" ht="15.75" customHeight="1" x14ac:dyDescent="0.15">
      <c r="E855" s="292"/>
    </row>
    <row r="856" spans="5:5" ht="15.75" customHeight="1" x14ac:dyDescent="0.15">
      <c r="E856" s="292"/>
    </row>
    <row r="857" spans="5:5" ht="15.75" customHeight="1" x14ac:dyDescent="0.15">
      <c r="E857" s="292"/>
    </row>
    <row r="858" spans="5:5" ht="15.75" customHeight="1" x14ac:dyDescent="0.15">
      <c r="E858" s="292"/>
    </row>
    <row r="859" spans="5:5" ht="15.75" customHeight="1" x14ac:dyDescent="0.15">
      <c r="E859" s="292"/>
    </row>
    <row r="860" spans="5:5" ht="15.75" customHeight="1" x14ac:dyDescent="0.15">
      <c r="E860" s="292"/>
    </row>
    <row r="861" spans="5:5" ht="15.75" customHeight="1" x14ac:dyDescent="0.15">
      <c r="E861" s="292"/>
    </row>
    <row r="862" spans="5:5" ht="15.75" customHeight="1" x14ac:dyDescent="0.15">
      <c r="E862" s="292"/>
    </row>
    <row r="863" spans="5:5" ht="15.75" customHeight="1" x14ac:dyDescent="0.15">
      <c r="E863" s="292"/>
    </row>
    <row r="864" spans="5:5" ht="15.75" customHeight="1" x14ac:dyDescent="0.15">
      <c r="E864" s="292"/>
    </row>
    <row r="865" spans="5:5" ht="15.75" customHeight="1" x14ac:dyDescent="0.15">
      <c r="E865" s="292"/>
    </row>
    <row r="866" spans="5:5" ht="15.75" customHeight="1" x14ac:dyDescent="0.15">
      <c r="E866" s="292"/>
    </row>
    <row r="867" spans="5:5" ht="15.75" customHeight="1" x14ac:dyDescent="0.15">
      <c r="E867" s="292"/>
    </row>
    <row r="868" spans="5:5" ht="15.75" customHeight="1" x14ac:dyDescent="0.15">
      <c r="E868" s="292"/>
    </row>
    <row r="869" spans="5:5" ht="15.75" customHeight="1" x14ac:dyDescent="0.15">
      <c r="E869" s="292"/>
    </row>
    <row r="870" spans="5:5" ht="15.75" customHeight="1" x14ac:dyDescent="0.15">
      <c r="E870" s="292"/>
    </row>
    <row r="871" spans="5:5" ht="15.75" customHeight="1" x14ac:dyDescent="0.15">
      <c r="E871" s="292"/>
    </row>
    <row r="872" spans="5:5" ht="15.75" customHeight="1" x14ac:dyDescent="0.15">
      <c r="E872" s="292"/>
    </row>
    <row r="873" spans="5:5" ht="15.75" customHeight="1" x14ac:dyDescent="0.15">
      <c r="E873" s="292"/>
    </row>
    <row r="874" spans="5:5" ht="15.75" customHeight="1" x14ac:dyDescent="0.15">
      <c r="E874" s="292"/>
    </row>
    <row r="875" spans="5:5" ht="15.75" customHeight="1" x14ac:dyDescent="0.15">
      <c r="E875" s="292"/>
    </row>
    <row r="876" spans="5:5" ht="15.75" customHeight="1" x14ac:dyDescent="0.15">
      <c r="E876" s="292"/>
    </row>
    <row r="877" spans="5:5" ht="15.75" customHeight="1" x14ac:dyDescent="0.15">
      <c r="E877" s="292"/>
    </row>
    <row r="878" spans="5:5" ht="15.75" customHeight="1" x14ac:dyDescent="0.15">
      <c r="E878" s="292"/>
    </row>
    <row r="879" spans="5:5" ht="15.75" customHeight="1" x14ac:dyDescent="0.15">
      <c r="E879" s="292"/>
    </row>
    <row r="880" spans="5:5" ht="15.75" customHeight="1" x14ac:dyDescent="0.15">
      <c r="E880" s="292"/>
    </row>
    <row r="881" spans="5:5" ht="15.75" customHeight="1" x14ac:dyDescent="0.15">
      <c r="E881" s="292"/>
    </row>
    <row r="882" spans="5:5" ht="15.75" customHeight="1" x14ac:dyDescent="0.15">
      <c r="E882" s="292"/>
    </row>
    <row r="883" spans="5:5" ht="15.75" customHeight="1" x14ac:dyDescent="0.15">
      <c r="E883" s="292"/>
    </row>
    <row r="884" spans="5:5" ht="15.75" customHeight="1" x14ac:dyDescent="0.15">
      <c r="E884" s="292"/>
    </row>
    <row r="885" spans="5:5" ht="15.75" customHeight="1" x14ac:dyDescent="0.15">
      <c r="E885" s="292"/>
    </row>
    <row r="886" spans="5:5" ht="15.75" customHeight="1" x14ac:dyDescent="0.15">
      <c r="E886" s="292"/>
    </row>
    <row r="887" spans="5:5" ht="15.75" customHeight="1" x14ac:dyDescent="0.15">
      <c r="E887" s="292"/>
    </row>
    <row r="888" spans="5:5" ht="15.75" customHeight="1" x14ac:dyDescent="0.15">
      <c r="E888" s="292"/>
    </row>
    <row r="889" spans="5:5" ht="15.75" customHeight="1" x14ac:dyDescent="0.15">
      <c r="E889" s="292"/>
    </row>
    <row r="890" spans="5:5" ht="15.75" customHeight="1" x14ac:dyDescent="0.15">
      <c r="E890" s="292"/>
    </row>
    <row r="891" spans="5:5" ht="15.75" customHeight="1" x14ac:dyDescent="0.15">
      <c r="E891" s="292"/>
    </row>
    <row r="892" spans="5:5" ht="15.75" customHeight="1" x14ac:dyDescent="0.15">
      <c r="E892" s="292"/>
    </row>
    <row r="893" spans="5:5" ht="15.75" customHeight="1" x14ac:dyDescent="0.15">
      <c r="E893" s="292"/>
    </row>
    <row r="894" spans="5:5" ht="15.75" customHeight="1" x14ac:dyDescent="0.15">
      <c r="E894" s="292"/>
    </row>
    <row r="895" spans="5:5" ht="15.75" customHeight="1" x14ac:dyDescent="0.15">
      <c r="E895" s="292"/>
    </row>
    <row r="896" spans="5:5" ht="15.75" customHeight="1" x14ac:dyDescent="0.15">
      <c r="E896" s="292"/>
    </row>
    <row r="897" spans="5:5" ht="15.75" customHeight="1" x14ac:dyDescent="0.15">
      <c r="E897" s="292"/>
    </row>
    <row r="898" spans="5:5" ht="15.75" customHeight="1" x14ac:dyDescent="0.15">
      <c r="E898" s="292"/>
    </row>
    <row r="899" spans="5:5" ht="15.75" customHeight="1" x14ac:dyDescent="0.15">
      <c r="E899" s="292"/>
    </row>
    <row r="900" spans="5:5" ht="15.75" customHeight="1" x14ac:dyDescent="0.15">
      <c r="E900" s="292"/>
    </row>
    <row r="901" spans="5:5" ht="15.75" customHeight="1" x14ac:dyDescent="0.15">
      <c r="E901" s="292"/>
    </row>
    <row r="902" spans="5:5" ht="15.75" customHeight="1" x14ac:dyDescent="0.15">
      <c r="E902" s="292"/>
    </row>
    <row r="903" spans="5:5" ht="15.75" customHeight="1" x14ac:dyDescent="0.15">
      <c r="E903" s="292"/>
    </row>
    <row r="904" spans="5:5" ht="15.75" customHeight="1" x14ac:dyDescent="0.15">
      <c r="E904" s="292"/>
    </row>
    <row r="905" spans="5:5" ht="15.75" customHeight="1" x14ac:dyDescent="0.15">
      <c r="E905" s="292"/>
    </row>
    <row r="906" spans="5:5" ht="15.75" customHeight="1" x14ac:dyDescent="0.15">
      <c r="E906" s="292"/>
    </row>
    <row r="907" spans="5:5" ht="15.75" customHeight="1" x14ac:dyDescent="0.15">
      <c r="E907" s="292"/>
    </row>
    <row r="908" spans="5:5" ht="15.75" customHeight="1" x14ac:dyDescent="0.15">
      <c r="E908" s="292"/>
    </row>
    <row r="909" spans="5:5" ht="15.75" customHeight="1" x14ac:dyDescent="0.15">
      <c r="E909" s="292"/>
    </row>
    <row r="910" spans="5:5" ht="15.75" customHeight="1" x14ac:dyDescent="0.15">
      <c r="E910" s="292"/>
    </row>
    <row r="911" spans="5:5" ht="15.75" customHeight="1" x14ac:dyDescent="0.15">
      <c r="E911" s="292"/>
    </row>
    <row r="912" spans="5:5" ht="15.75" customHeight="1" x14ac:dyDescent="0.15">
      <c r="E912" s="292"/>
    </row>
    <row r="913" spans="5:5" ht="15.75" customHeight="1" x14ac:dyDescent="0.15">
      <c r="E913" s="292"/>
    </row>
    <row r="914" spans="5:5" ht="15.75" customHeight="1" x14ac:dyDescent="0.15">
      <c r="E914" s="292"/>
    </row>
    <row r="915" spans="5:5" ht="15.75" customHeight="1" x14ac:dyDescent="0.15">
      <c r="E915" s="292"/>
    </row>
    <row r="916" spans="5:5" ht="15.75" customHeight="1" x14ac:dyDescent="0.15">
      <c r="E916" s="292"/>
    </row>
    <row r="917" spans="5:5" ht="15.75" customHeight="1" x14ac:dyDescent="0.15">
      <c r="E917" s="292"/>
    </row>
    <row r="918" spans="5:5" ht="15.75" customHeight="1" x14ac:dyDescent="0.15">
      <c r="E918" s="292"/>
    </row>
    <row r="919" spans="5:5" ht="15.75" customHeight="1" x14ac:dyDescent="0.15">
      <c r="E919" s="292"/>
    </row>
    <row r="920" spans="5:5" ht="15.75" customHeight="1" x14ac:dyDescent="0.15">
      <c r="E920" s="292"/>
    </row>
    <row r="921" spans="5:5" ht="15.75" customHeight="1" x14ac:dyDescent="0.15">
      <c r="E921" s="292"/>
    </row>
    <row r="922" spans="5:5" ht="15.75" customHeight="1" x14ac:dyDescent="0.15">
      <c r="E922" s="292"/>
    </row>
    <row r="923" spans="5:5" ht="15.75" customHeight="1" x14ac:dyDescent="0.15">
      <c r="E923" s="292"/>
    </row>
    <row r="924" spans="5:5" ht="15.75" customHeight="1" x14ac:dyDescent="0.15">
      <c r="E924" s="292"/>
    </row>
    <row r="925" spans="5:5" ht="15.75" customHeight="1" x14ac:dyDescent="0.15">
      <c r="E925" s="292"/>
    </row>
    <row r="926" spans="5:5" ht="15.75" customHeight="1" x14ac:dyDescent="0.15">
      <c r="E926" s="292"/>
    </row>
    <row r="927" spans="5:5" ht="15.75" customHeight="1" x14ac:dyDescent="0.15">
      <c r="E927" s="292"/>
    </row>
    <row r="928" spans="5:5" ht="15.75" customHeight="1" x14ac:dyDescent="0.15">
      <c r="E928" s="292"/>
    </row>
    <row r="929" spans="5:5" ht="15.75" customHeight="1" x14ac:dyDescent="0.15">
      <c r="E929" s="292"/>
    </row>
    <row r="930" spans="5:5" ht="15.75" customHeight="1" x14ac:dyDescent="0.15">
      <c r="E930" s="292"/>
    </row>
    <row r="931" spans="5:5" ht="15.75" customHeight="1" x14ac:dyDescent="0.15">
      <c r="E931" s="292"/>
    </row>
    <row r="932" spans="5:5" ht="15.75" customHeight="1" x14ac:dyDescent="0.15">
      <c r="E932" s="292"/>
    </row>
    <row r="933" spans="5:5" ht="15.75" customHeight="1" x14ac:dyDescent="0.15">
      <c r="E933" s="292"/>
    </row>
    <row r="934" spans="5:5" ht="15.75" customHeight="1" x14ac:dyDescent="0.15">
      <c r="E934" s="292"/>
    </row>
    <row r="935" spans="5:5" ht="15.75" customHeight="1" x14ac:dyDescent="0.15">
      <c r="E935" s="292"/>
    </row>
    <row r="936" spans="5:5" ht="15.75" customHeight="1" x14ac:dyDescent="0.15">
      <c r="E936" s="292"/>
    </row>
    <row r="937" spans="5:5" ht="15.75" customHeight="1" x14ac:dyDescent="0.15">
      <c r="E937" s="292"/>
    </row>
    <row r="938" spans="5:5" ht="15.75" customHeight="1" x14ac:dyDescent="0.15">
      <c r="E938" s="292"/>
    </row>
    <row r="939" spans="5:5" ht="15.75" customHeight="1" x14ac:dyDescent="0.15">
      <c r="E939" s="292"/>
    </row>
    <row r="940" spans="5:5" ht="15.75" customHeight="1" x14ac:dyDescent="0.15">
      <c r="E940" s="292"/>
    </row>
    <row r="941" spans="5:5" ht="15.75" customHeight="1" x14ac:dyDescent="0.15">
      <c r="E941" s="292"/>
    </row>
    <row r="942" spans="5:5" ht="15.75" customHeight="1" x14ac:dyDescent="0.15">
      <c r="E942" s="292"/>
    </row>
    <row r="943" spans="5:5" ht="15.75" customHeight="1" x14ac:dyDescent="0.15">
      <c r="E943" s="292"/>
    </row>
    <row r="944" spans="5:5" ht="15.75" customHeight="1" x14ac:dyDescent="0.15">
      <c r="E944" s="292"/>
    </row>
    <row r="945" spans="5:5" ht="15.75" customHeight="1" x14ac:dyDescent="0.15">
      <c r="E945" s="292"/>
    </row>
    <row r="946" spans="5:5" ht="15.75" customHeight="1" x14ac:dyDescent="0.15">
      <c r="E946" s="292"/>
    </row>
    <row r="947" spans="5:5" ht="15.75" customHeight="1" x14ac:dyDescent="0.15">
      <c r="E947" s="292"/>
    </row>
    <row r="948" spans="5:5" ht="15.75" customHeight="1" x14ac:dyDescent="0.15">
      <c r="E948" s="292"/>
    </row>
    <row r="949" spans="5:5" ht="15.75" customHeight="1" x14ac:dyDescent="0.15">
      <c r="E949" s="292"/>
    </row>
    <row r="950" spans="5:5" ht="15.75" customHeight="1" x14ac:dyDescent="0.15">
      <c r="E950" s="292"/>
    </row>
    <row r="951" spans="5:5" ht="15.75" customHeight="1" x14ac:dyDescent="0.15">
      <c r="E951" s="292"/>
    </row>
    <row r="952" spans="5:5" ht="15.75" customHeight="1" x14ac:dyDescent="0.15">
      <c r="E952" s="292"/>
    </row>
    <row r="953" spans="5:5" ht="15.75" customHeight="1" x14ac:dyDescent="0.15">
      <c r="E953" s="292"/>
    </row>
    <row r="954" spans="5:5" ht="15.75" customHeight="1" x14ac:dyDescent="0.15">
      <c r="E954" s="292"/>
    </row>
    <row r="955" spans="5:5" ht="15.75" customHeight="1" x14ac:dyDescent="0.15">
      <c r="E955" s="292"/>
    </row>
    <row r="956" spans="5:5" ht="15.75" customHeight="1" x14ac:dyDescent="0.15">
      <c r="E956" s="292"/>
    </row>
    <row r="957" spans="5:5" ht="15.75" customHeight="1" x14ac:dyDescent="0.15">
      <c r="E957" s="292"/>
    </row>
    <row r="958" spans="5:5" ht="15.75" customHeight="1" x14ac:dyDescent="0.15">
      <c r="E958" s="292"/>
    </row>
    <row r="959" spans="5:5" ht="15.75" customHeight="1" x14ac:dyDescent="0.15">
      <c r="E959" s="292"/>
    </row>
    <row r="960" spans="5:5" ht="15.75" customHeight="1" x14ac:dyDescent="0.15">
      <c r="E960" s="292"/>
    </row>
    <row r="961" spans="5:5" ht="15.75" customHeight="1" x14ac:dyDescent="0.15">
      <c r="E961" s="292"/>
    </row>
    <row r="962" spans="5:5" ht="15.75" customHeight="1" x14ac:dyDescent="0.15">
      <c r="E962" s="292"/>
    </row>
    <row r="963" spans="5:5" ht="15.75" customHeight="1" x14ac:dyDescent="0.15">
      <c r="E963" s="292"/>
    </row>
    <row r="964" spans="5:5" ht="15.75" customHeight="1" x14ac:dyDescent="0.15">
      <c r="E964" s="292"/>
    </row>
    <row r="965" spans="5:5" ht="15.75" customHeight="1" x14ac:dyDescent="0.15">
      <c r="E965" s="292"/>
    </row>
    <row r="966" spans="5:5" ht="15.75" customHeight="1" x14ac:dyDescent="0.15">
      <c r="E966" s="292"/>
    </row>
    <row r="967" spans="5:5" ht="15.75" customHeight="1" x14ac:dyDescent="0.15">
      <c r="E967" s="292"/>
    </row>
    <row r="968" spans="5:5" ht="15.75" customHeight="1" x14ac:dyDescent="0.15">
      <c r="E968" s="292"/>
    </row>
    <row r="969" spans="5:5" ht="15.75" customHeight="1" x14ac:dyDescent="0.15">
      <c r="E969" s="292"/>
    </row>
    <row r="970" spans="5:5" ht="15.75" customHeight="1" x14ac:dyDescent="0.15">
      <c r="E970" s="292"/>
    </row>
    <row r="971" spans="5:5" ht="15.75" customHeight="1" x14ac:dyDescent="0.15">
      <c r="E971" s="292"/>
    </row>
    <row r="972" spans="5:5" ht="15.75" customHeight="1" x14ac:dyDescent="0.15">
      <c r="E972" s="292"/>
    </row>
    <row r="973" spans="5:5" ht="15.75" customHeight="1" x14ac:dyDescent="0.15">
      <c r="E973" s="292"/>
    </row>
    <row r="974" spans="5:5" ht="15.75" customHeight="1" x14ac:dyDescent="0.15">
      <c r="E974" s="292"/>
    </row>
    <row r="975" spans="5:5" ht="15.75" customHeight="1" x14ac:dyDescent="0.15">
      <c r="E975" s="292"/>
    </row>
    <row r="976" spans="5:5" ht="15.75" customHeight="1" x14ac:dyDescent="0.15">
      <c r="E976" s="292"/>
    </row>
    <row r="977" spans="5:5" ht="15.75" customHeight="1" x14ac:dyDescent="0.15">
      <c r="E977" s="292"/>
    </row>
    <row r="978" spans="5:5" ht="15.75" customHeight="1" x14ac:dyDescent="0.15">
      <c r="E978" s="292"/>
    </row>
    <row r="979" spans="5:5" ht="15.75" customHeight="1" x14ac:dyDescent="0.15">
      <c r="E979" s="292"/>
    </row>
    <row r="980" spans="5:5" ht="15.75" customHeight="1" x14ac:dyDescent="0.15">
      <c r="E980" s="292"/>
    </row>
    <row r="981" spans="5:5" ht="15.75" customHeight="1" x14ac:dyDescent="0.15">
      <c r="E981" s="292"/>
    </row>
    <row r="982" spans="5:5" ht="15.75" customHeight="1" x14ac:dyDescent="0.15">
      <c r="E982" s="292"/>
    </row>
    <row r="983" spans="5:5" ht="15.75" customHeight="1" x14ac:dyDescent="0.15">
      <c r="E983" s="292"/>
    </row>
    <row r="984" spans="5:5" ht="15.75" customHeight="1" x14ac:dyDescent="0.15">
      <c r="E984" s="292"/>
    </row>
    <row r="985" spans="5:5" ht="15.75" customHeight="1" x14ac:dyDescent="0.15">
      <c r="E985" s="292"/>
    </row>
    <row r="986" spans="5:5" ht="15.75" customHeight="1" x14ac:dyDescent="0.15">
      <c r="E986" s="292"/>
    </row>
    <row r="987" spans="5:5" ht="15.75" customHeight="1" x14ac:dyDescent="0.15">
      <c r="E987" s="292"/>
    </row>
    <row r="988" spans="5:5" ht="15.75" customHeight="1" x14ac:dyDescent="0.15">
      <c r="E988" s="292"/>
    </row>
    <row r="989" spans="5:5" ht="15.75" customHeight="1" x14ac:dyDescent="0.15">
      <c r="E989" s="292"/>
    </row>
    <row r="990" spans="5:5" ht="15.75" customHeight="1" x14ac:dyDescent="0.15">
      <c r="E990" s="292"/>
    </row>
    <row r="991" spans="5:5" ht="15.75" customHeight="1" x14ac:dyDescent="0.15">
      <c r="E991" s="292"/>
    </row>
    <row r="992" spans="5:5" ht="15.75" customHeight="1" x14ac:dyDescent="0.15">
      <c r="E992" s="292"/>
    </row>
    <row r="993" spans="5:5" ht="15.75" customHeight="1" x14ac:dyDescent="0.15">
      <c r="E993" s="292"/>
    </row>
    <row r="994" spans="5:5" ht="15.75" customHeight="1" x14ac:dyDescent="0.15">
      <c r="E994" s="292"/>
    </row>
    <row r="995" spans="5:5" ht="15.75" customHeight="1" x14ac:dyDescent="0.15">
      <c r="E995" s="292"/>
    </row>
    <row r="996" spans="5:5" ht="15.75" customHeight="1" x14ac:dyDescent="0.15">
      <c r="E996" s="292"/>
    </row>
    <row r="997" spans="5:5" ht="15.75" customHeight="1" x14ac:dyDescent="0.15">
      <c r="E997" s="292"/>
    </row>
    <row r="998" spans="5:5" ht="15.75" customHeight="1" x14ac:dyDescent="0.15">
      <c r="E998" s="292"/>
    </row>
    <row r="999" spans="5:5" ht="15.75" customHeight="1" x14ac:dyDescent="0.15">
      <c r="E999" s="292"/>
    </row>
    <row r="1000" spans="5:5" ht="15.75" customHeight="1" x14ac:dyDescent="0.15">
      <c r="E1000" s="292"/>
    </row>
    <row r="1001" spans="5:5" ht="15.75" customHeight="1" x14ac:dyDescent="0.15">
      <c r="E1001" s="292"/>
    </row>
    <row r="1002" spans="5:5" ht="15.75" customHeight="1" x14ac:dyDescent="0.15">
      <c r="E1002" s="292"/>
    </row>
    <row r="1003" spans="5:5" ht="15.75" customHeight="1" x14ac:dyDescent="0.15">
      <c r="E1003" s="292"/>
    </row>
    <row r="1004" spans="5:5" ht="15.75" customHeight="1" x14ac:dyDescent="0.15">
      <c r="E1004" s="292"/>
    </row>
    <row r="1005" spans="5:5" ht="15.75" customHeight="1" x14ac:dyDescent="0.15">
      <c r="E1005" s="292"/>
    </row>
    <row r="1006" spans="5:5" ht="15.75" customHeight="1" x14ac:dyDescent="0.15">
      <c r="E1006" s="292"/>
    </row>
    <row r="1007" spans="5:5" ht="15.75" customHeight="1" x14ac:dyDescent="0.15">
      <c r="E1007" s="292"/>
    </row>
    <row r="1008" spans="5:5" ht="15.75" customHeight="1" x14ac:dyDescent="0.15">
      <c r="E1008" s="292"/>
    </row>
    <row r="1009" spans="5:5" ht="15.75" customHeight="1" x14ac:dyDescent="0.15">
      <c r="E1009" s="292"/>
    </row>
    <row r="1010" spans="5:5" ht="15.75" customHeight="1" x14ac:dyDescent="0.15">
      <c r="E1010" s="292"/>
    </row>
    <row r="1011" spans="5:5" ht="15.75" customHeight="1" x14ac:dyDescent="0.15">
      <c r="E1011" s="292"/>
    </row>
    <row r="1012" spans="5:5" ht="15.75" customHeight="1" x14ac:dyDescent="0.15">
      <c r="E1012" s="292"/>
    </row>
  </sheetData>
  <mergeCells count="95">
    <mergeCell ref="B193:B199"/>
    <mergeCell ref="B200:B201"/>
    <mergeCell ref="B162:B166"/>
    <mergeCell ref="B167:B170"/>
    <mergeCell ref="B98:B100"/>
    <mergeCell ref="B102:B103"/>
    <mergeCell ref="B104:B105"/>
    <mergeCell ref="B113:B115"/>
    <mergeCell ref="B144:B154"/>
    <mergeCell ref="B155:B158"/>
    <mergeCell ref="B159:B161"/>
    <mergeCell ref="B232:B239"/>
    <mergeCell ref="B240:B245"/>
    <mergeCell ref="A133:A143"/>
    <mergeCell ref="A144:A220"/>
    <mergeCell ref="A221:A245"/>
    <mergeCell ref="B221:B224"/>
    <mergeCell ref="B225:B227"/>
    <mergeCell ref="B228:B229"/>
    <mergeCell ref="B230:B231"/>
    <mergeCell ref="B202:B210"/>
    <mergeCell ref="B211:B220"/>
    <mergeCell ref="B171:B178"/>
    <mergeCell ref="B179:B185"/>
    <mergeCell ref="B186:B187"/>
    <mergeCell ref="B188:B190"/>
    <mergeCell ref="B191:B192"/>
    <mergeCell ref="B278:B280"/>
    <mergeCell ref="B281:B288"/>
    <mergeCell ref="B289:B296"/>
    <mergeCell ref="B297:B298"/>
    <mergeCell ref="B299:B301"/>
    <mergeCell ref="B457:B462"/>
    <mergeCell ref="B463:B468"/>
    <mergeCell ref="A457:A462"/>
    <mergeCell ref="A463:A468"/>
    <mergeCell ref="B302:B305"/>
    <mergeCell ref="B306:B307"/>
    <mergeCell ref="B308:B309"/>
    <mergeCell ref="B310:B314"/>
    <mergeCell ref="B315:B317"/>
    <mergeCell ref="A335:A390"/>
    <mergeCell ref="A391:A444"/>
    <mergeCell ref="A447:A451"/>
    <mergeCell ref="A452:A456"/>
    <mergeCell ref="A445:F445"/>
    <mergeCell ref="B447:B451"/>
    <mergeCell ref="B452:B456"/>
    <mergeCell ref="B318:B321"/>
    <mergeCell ref="B31:B32"/>
    <mergeCell ref="B33:B34"/>
    <mergeCell ref="A2:A16"/>
    <mergeCell ref="B2:B12"/>
    <mergeCell ref="B15:B16"/>
    <mergeCell ref="A17:A34"/>
    <mergeCell ref="B17:B21"/>
    <mergeCell ref="B22:B27"/>
    <mergeCell ref="B28:B30"/>
    <mergeCell ref="A35:A41"/>
    <mergeCell ref="B35:B40"/>
    <mergeCell ref="A42:A44"/>
    <mergeCell ref="B42:B43"/>
    <mergeCell ref="A45:A49"/>
    <mergeCell ref="A246:A259"/>
    <mergeCell ref="B45:B46"/>
    <mergeCell ref="B56:B57"/>
    <mergeCell ref="B50:B53"/>
    <mergeCell ref="B54:B55"/>
    <mergeCell ref="B61:B62"/>
    <mergeCell ref="B66:B67"/>
    <mergeCell ref="B68:B69"/>
    <mergeCell ref="B76:B77"/>
    <mergeCell ref="B78:B79"/>
    <mergeCell ref="A50:A58"/>
    <mergeCell ref="A59:A62"/>
    <mergeCell ref="A63:A65"/>
    <mergeCell ref="A66:A69"/>
    <mergeCell ref="A70:A77"/>
    <mergeCell ref="A78:A108"/>
    <mergeCell ref="B269:B272"/>
    <mergeCell ref="B273:B277"/>
    <mergeCell ref="A109:A132"/>
    <mergeCell ref="B80:B82"/>
    <mergeCell ref="B83:B85"/>
    <mergeCell ref="B86:B88"/>
    <mergeCell ref="B89:B90"/>
    <mergeCell ref="B91:B92"/>
    <mergeCell ref="B94:B95"/>
    <mergeCell ref="B96:B97"/>
    <mergeCell ref="B260:B268"/>
    <mergeCell ref="B246:B247"/>
    <mergeCell ref="B248:B250"/>
    <mergeCell ref="B251:B252"/>
    <mergeCell ref="B253:B259"/>
    <mergeCell ref="A260:A32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13"/>
  <sheetViews>
    <sheetView tabSelected="1" zoomScale="155" zoomScaleNormal="155" workbookViewId="0">
      <pane ySplit="1" topLeftCell="A27" activePane="bottomLeft" state="frozen"/>
      <selection pane="bottomLeft" activeCell="C13" sqref="C13"/>
    </sheetView>
  </sheetViews>
  <sheetFormatPr baseColWidth="10" defaultColWidth="12.5" defaultRowHeight="15" customHeight="1" x14ac:dyDescent="0.15"/>
  <cols>
    <col min="1" max="1" width="17.5" customWidth="1"/>
    <col min="2" max="2" width="30.1640625" customWidth="1"/>
    <col min="3" max="3" width="41.6640625" customWidth="1"/>
    <col min="4" max="4" width="15.5" customWidth="1"/>
    <col min="5" max="5" width="19" customWidth="1"/>
    <col min="6" max="6" width="18.5" customWidth="1"/>
    <col min="7" max="7" width="10.6640625" customWidth="1"/>
    <col min="8" max="27" width="8.5" customWidth="1"/>
  </cols>
  <sheetData>
    <row r="1" spans="1:7" ht="12.75" customHeight="1" x14ac:dyDescent="0.15">
      <c r="A1" s="1" t="s">
        <v>714</v>
      </c>
      <c r="B1" s="2"/>
      <c r="C1" s="3" t="s">
        <v>2</v>
      </c>
      <c r="D1" s="121" t="s">
        <v>715</v>
      </c>
      <c r="E1" s="122" t="s">
        <v>911</v>
      </c>
      <c r="F1" s="122" t="s">
        <v>912</v>
      </c>
      <c r="G1" s="123" t="s">
        <v>717</v>
      </c>
    </row>
    <row r="2" spans="1:7" ht="12.75" customHeight="1" x14ac:dyDescent="0.15">
      <c r="A2" s="400" t="s">
        <v>6</v>
      </c>
      <c r="B2" s="402" t="s">
        <v>7</v>
      </c>
      <c r="C2" s="7" t="s">
        <v>8</v>
      </c>
      <c r="D2" s="132">
        <v>1.85</v>
      </c>
      <c r="E2" s="131">
        <v>1.99</v>
      </c>
      <c r="F2" s="131">
        <f t="shared" ref="F2:F256" si="0">(E2*0.04)+E2</f>
        <v>2.0695999999999999</v>
      </c>
      <c r="G2" s="251">
        <f t="shared" ref="G2:G66" si="1">+(E2/D2)-1</f>
        <v>7.5675675675675569E-2</v>
      </c>
    </row>
    <row r="3" spans="1:7" ht="12.75" customHeight="1" x14ac:dyDescent="0.15">
      <c r="A3" s="390"/>
      <c r="B3" s="368"/>
      <c r="C3" s="12" t="s">
        <v>9</v>
      </c>
      <c r="D3" s="13">
        <v>1.85</v>
      </c>
      <c r="E3" s="133">
        <v>1.99</v>
      </c>
      <c r="F3" s="131">
        <f t="shared" si="0"/>
        <v>2.0695999999999999</v>
      </c>
      <c r="G3" s="251">
        <f t="shared" si="1"/>
        <v>7.5675675675675569E-2</v>
      </c>
    </row>
    <row r="4" spans="1:7" ht="12.75" customHeight="1" x14ac:dyDescent="0.15">
      <c r="A4" s="390"/>
      <c r="B4" s="368"/>
      <c r="C4" s="12" t="s">
        <v>10</v>
      </c>
      <c r="D4" s="13">
        <v>1.85</v>
      </c>
      <c r="E4" s="133">
        <v>1.99</v>
      </c>
      <c r="F4" s="131">
        <f t="shared" si="0"/>
        <v>2.0695999999999999</v>
      </c>
      <c r="G4" s="251">
        <f t="shared" si="1"/>
        <v>7.5675675675675569E-2</v>
      </c>
    </row>
    <row r="5" spans="1:7" ht="12.75" customHeight="1" x14ac:dyDescent="0.15">
      <c r="A5" s="390"/>
      <c r="B5" s="368"/>
      <c r="C5" s="12" t="s">
        <v>11</v>
      </c>
      <c r="D5" s="13">
        <v>1.85</v>
      </c>
      <c r="E5" s="133">
        <v>1.99</v>
      </c>
      <c r="F5" s="131">
        <f t="shared" si="0"/>
        <v>2.0695999999999999</v>
      </c>
      <c r="G5" s="251">
        <f t="shared" si="1"/>
        <v>7.5675675675675569E-2</v>
      </c>
    </row>
    <row r="6" spans="1:7" ht="12.75" customHeight="1" x14ac:dyDescent="0.15">
      <c r="A6" s="390"/>
      <c r="B6" s="368"/>
      <c r="C6" s="12" t="s">
        <v>14</v>
      </c>
      <c r="D6" s="13">
        <v>1.85</v>
      </c>
      <c r="E6" s="133">
        <v>1.99</v>
      </c>
      <c r="F6" s="131">
        <f t="shared" si="0"/>
        <v>2.0695999999999999</v>
      </c>
      <c r="G6" s="251">
        <f t="shared" si="1"/>
        <v>7.5675675675675569E-2</v>
      </c>
    </row>
    <row r="7" spans="1:7" ht="12.75" customHeight="1" x14ac:dyDescent="0.15">
      <c r="A7" s="390"/>
      <c r="B7" s="368"/>
      <c r="C7" s="12" t="s">
        <v>15</v>
      </c>
      <c r="D7" s="13">
        <v>1.85</v>
      </c>
      <c r="E7" s="133">
        <v>1.99</v>
      </c>
      <c r="F7" s="131">
        <f t="shared" si="0"/>
        <v>2.0695999999999999</v>
      </c>
      <c r="G7" s="251">
        <f t="shared" si="1"/>
        <v>7.5675675675675569E-2</v>
      </c>
    </row>
    <row r="8" spans="1:7" ht="12.75" customHeight="1" x14ac:dyDescent="0.15">
      <c r="A8" s="390"/>
      <c r="B8" s="368"/>
      <c r="C8" s="12" t="s">
        <v>16</v>
      </c>
      <c r="D8" s="13">
        <v>1.85</v>
      </c>
      <c r="E8" s="133">
        <v>1.99</v>
      </c>
      <c r="F8" s="131">
        <f t="shared" si="0"/>
        <v>2.0695999999999999</v>
      </c>
      <c r="G8" s="251">
        <f t="shared" si="1"/>
        <v>7.5675675675675569E-2</v>
      </c>
    </row>
    <row r="9" spans="1:7" ht="12.75" customHeight="1" x14ac:dyDescent="0.15">
      <c r="A9" s="390"/>
      <c r="B9" s="368"/>
      <c r="C9" s="12" t="s">
        <v>17</v>
      </c>
      <c r="D9" s="13">
        <v>1.85</v>
      </c>
      <c r="E9" s="133">
        <v>1.99</v>
      </c>
      <c r="F9" s="131">
        <f t="shared" si="0"/>
        <v>2.0695999999999999</v>
      </c>
      <c r="G9" s="251">
        <f t="shared" si="1"/>
        <v>7.5675675675675569E-2</v>
      </c>
    </row>
    <row r="10" spans="1:7" ht="12.75" customHeight="1" x14ac:dyDescent="0.15">
      <c r="A10" s="390"/>
      <c r="B10" s="368"/>
      <c r="C10" s="12" t="s">
        <v>18</v>
      </c>
      <c r="D10" s="13">
        <v>1.85</v>
      </c>
      <c r="E10" s="133">
        <v>1.99</v>
      </c>
      <c r="F10" s="131">
        <f t="shared" si="0"/>
        <v>2.0695999999999999</v>
      </c>
      <c r="G10" s="251">
        <f t="shared" si="1"/>
        <v>7.5675675675675569E-2</v>
      </c>
    </row>
    <row r="11" spans="1:7" ht="12.75" customHeight="1" x14ac:dyDescent="0.15">
      <c r="A11" s="390"/>
      <c r="B11" s="368"/>
      <c r="C11" s="12" t="s">
        <v>19</v>
      </c>
      <c r="D11" s="13">
        <v>1.85</v>
      </c>
      <c r="E11" s="133">
        <v>1.99</v>
      </c>
      <c r="F11" s="131">
        <f t="shared" si="0"/>
        <v>2.0695999999999999</v>
      </c>
      <c r="G11" s="251">
        <f t="shared" si="1"/>
        <v>7.5675675675675569E-2</v>
      </c>
    </row>
    <row r="12" spans="1:7" ht="12.75" customHeight="1" x14ac:dyDescent="0.15">
      <c r="A12" s="390"/>
      <c r="B12" s="366"/>
      <c r="C12" s="12" t="s">
        <v>20</v>
      </c>
      <c r="D12" s="13">
        <v>1.85</v>
      </c>
      <c r="E12" s="133">
        <v>1.99</v>
      </c>
      <c r="F12" s="131">
        <f t="shared" si="0"/>
        <v>2.0695999999999999</v>
      </c>
      <c r="G12" s="251">
        <f t="shared" si="1"/>
        <v>7.5675675675675569E-2</v>
      </c>
    </row>
    <row r="13" spans="1:7" ht="14" x14ac:dyDescent="0.15">
      <c r="A13" s="390"/>
      <c r="B13" s="16" t="s">
        <v>21</v>
      </c>
      <c r="C13" s="12" t="s">
        <v>720</v>
      </c>
      <c r="D13" s="13">
        <v>3.29</v>
      </c>
      <c r="E13" s="133">
        <v>3.49</v>
      </c>
      <c r="F13" s="131">
        <f t="shared" si="0"/>
        <v>3.6296000000000004</v>
      </c>
      <c r="G13" s="251">
        <f t="shared" si="1"/>
        <v>6.0790273556231122E-2</v>
      </c>
    </row>
    <row r="14" spans="1:7" ht="14" x14ac:dyDescent="0.15">
      <c r="A14" s="390"/>
      <c r="B14" s="16" t="s">
        <v>22</v>
      </c>
      <c r="C14" s="12" t="s">
        <v>23</v>
      </c>
      <c r="D14" s="13">
        <v>2.99</v>
      </c>
      <c r="E14" s="133">
        <v>3.25</v>
      </c>
      <c r="F14" s="131">
        <f t="shared" si="0"/>
        <v>3.38</v>
      </c>
      <c r="G14" s="251">
        <f t="shared" si="1"/>
        <v>8.6956521739130377E-2</v>
      </c>
    </row>
    <row r="15" spans="1:7" ht="12.75" customHeight="1" x14ac:dyDescent="0.15">
      <c r="A15" s="390"/>
      <c r="B15" s="448" t="s">
        <v>24</v>
      </c>
      <c r="C15" s="12" t="s">
        <v>25</v>
      </c>
      <c r="D15" s="13">
        <v>1.99</v>
      </c>
      <c r="E15" s="252">
        <v>2.25</v>
      </c>
      <c r="F15" s="131">
        <f t="shared" si="0"/>
        <v>2.34</v>
      </c>
      <c r="G15" s="251">
        <f t="shared" si="1"/>
        <v>0.13065326633165819</v>
      </c>
    </row>
    <row r="16" spans="1:7" ht="12.75" customHeight="1" x14ac:dyDescent="0.15">
      <c r="A16" s="391"/>
      <c r="B16" s="414"/>
      <c r="C16" s="19" t="s">
        <v>26</v>
      </c>
      <c r="D16" s="92">
        <v>1.99</v>
      </c>
      <c r="E16" s="133">
        <v>2.25</v>
      </c>
      <c r="F16" s="131">
        <f t="shared" si="0"/>
        <v>2.34</v>
      </c>
      <c r="G16" s="251">
        <f t="shared" si="1"/>
        <v>0.13065326633165819</v>
      </c>
    </row>
    <row r="17" spans="1:7" ht="12.75" customHeight="1" x14ac:dyDescent="0.15">
      <c r="A17" s="400" t="s">
        <v>27</v>
      </c>
      <c r="B17" s="402" t="s">
        <v>28</v>
      </c>
      <c r="C17" s="7" t="s">
        <v>16</v>
      </c>
      <c r="D17" s="132">
        <v>3.49</v>
      </c>
      <c r="E17" s="131">
        <v>3.89</v>
      </c>
      <c r="F17" s="131">
        <f t="shared" si="0"/>
        <v>4.0456000000000003</v>
      </c>
      <c r="G17" s="251">
        <f t="shared" si="1"/>
        <v>0.11461318051575931</v>
      </c>
    </row>
    <row r="18" spans="1:7" ht="12.75" customHeight="1" x14ac:dyDescent="0.15">
      <c r="A18" s="390"/>
      <c r="B18" s="368"/>
      <c r="C18" s="12" t="s">
        <v>18</v>
      </c>
      <c r="D18" s="13">
        <v>3.49</v>
      </c>
      <c r="E18" s="133">
        <v>3.89</v>
      </c>
      <c r="F18" s="131">
        <f t="shared" si="0"/>
        <v>4.0456000000000003</v>
      </c>
      <c r="G18" s="251">
        <f t="shared" si="1"/>
        <v>0.11461318051575931</v>
      </c>
    </row>
    <row r="19" spans="1:7" ht="12.75" customHeight="1" x14ac:dyDescent="0.15">
      <c r="A19" s="390"/>
      <c r="B19" s="368"/>
      <c r="C19" s="12" t="s">
        <v>20</v>
      </c>
      <c r="D19" s="13">
        <v>3.49</v>
      </c>
      <c r="E19" s="133">
        <v>3.89</v>
      </c>
      <c r="F19" s="131">
        <f t="shared" si="0"/>
        <v>4.0456000000000003</v>
      </c>
      <c r="G19" s="251">
        <f t="shared" si="1"/>
        <v>0.11461318051575931</v>
      </c>
    </row>
    <row r="20" spans="1:7" ht="12.75" customHeight="1" x14ac:dyDescent="0.15">
      <c r="A20" s="390"/>
      <c r="B20" s="368"/>
      <c r="C20" s="12" t="s">
        <v>29</v>
      </c>
      <c r="D20" s="13">
        <v>3.49</v>
      </c>
      <c r="E20" s="133">
        <v>3.89</v>
      </c>
      <c r="F20" s="131">
        <f t="shared" si="0"/>
        <v>4.0456000000000003</v>
      </c>
      <c r="G20" s="251">
        <f t="shared" si="1"/>
        <v>0.11461318051575931</v>
      </c>
    </row>
    <row r="21" spans="1:7" ht="12.75" customHeight="1" x14ac:dyDescent="0.15">
      <c r="A21" s="390"/>
      <c r="B21" s="366"/>
      <c r="C21" s="12" t="s">
        <v>30</v>
      </c>
      <c r="D21" s="13">
        <v>3.49</v>
      </c>
      <c r="E21" s="133">
        <v>3.89</v>
      </c>
      <c r="F21" s="131">
        <f t="shared" si="0"/>
        <v>4.0456000000000003</v>
      </c>
      <c r="G21" s="251">
        <f t="shared" si="1"/>
        <v>0.11461318051575931</v>
      </c>
    </row>
    <row r="22" spans="1:7" ht="12.75" customHeight="1" x14ac:dyDescent="0.15">
      <c r="A22" s="390"/>
      <c r="B22" s="401" t="s">
        <v>31</v>
      </c>
      <c r="C22" s="12" t="s">
        <v>16</v>
      </c>
      <c r="D22" s="13">
        <v>3.49</v>
      </c>
      <c r="E22" s="133">
        <v>3.89</v>
      </c>
      <c r="F22" s="131">
        <f t="shared" si="0"/>
        <v>4.0456000000000003</v>
      </c>
      <c r="G22" s="251">
        <f t="shared" si="1"/>
        <v>0.11461318051575931</v>
      </c>
    </row>
    <row r="23" spans="1:7" ht="12.75" customHeight="1" x14ac:dyDescent="0.15">
      <c r="A23" s="390"/>
      <c r="B23" s="368"/>
      <c r="C23" s="12" t="s">
        <v>18</v>
      </c>
      <c r="D23" s="13">
        <v>3.49</v>
      </c>
      <c r="E23" s="133">
        <v>3.89</v>
      </c>
      <c r="F23" s="131">
        <f t="shared" si="0"/>
        <v>4.0456000000000003</v>
      </c>
      <c r="G23" s="251">
        <f t="shared" si="1"/>
        <v>0.11461318051575931</v>
      </c>
    </row>
    <row r="24" spans="1:7" ht="12.75" customHeight="1" x14ac:dyDescent="0.15">
      <c r="A24" s="390"/>
      <c r="B24" s="368"/>
      <c r="C24" s="12" t="s">
        <v>20</v>
      </c>
      <c r="D24" s="13">
        <v>3.49</v>
      </c>
      <c r="E24" s="133">
        <v>3.89</v>
      </c>
      <c r="F24" s="131">
        <f t="shared" si="0"/>
        <v>4.0456000000000003</v>
      </c>
      <c r="G24" s="251">
        <f t="shared" si="1"/>
        <v>0.11461318051575931</v>
      </c>
    </row>
    <row r="25" spans="1:7" ht="12.75" customHeight="1" x14ac:dyDescent="0.15">
      <c r="A25" s="390"/>
      <c r="B25" s="368"/>
      <c r="C25" s="12" t="s">
        <v>29</v>
      </c>
      <c r="D25" s="13">
        <v>3.49</v>
      </c>
      <c r="E25" s="133">
        <v>3.89</v>
      </c>
      <c r="F25" s="131">
        <f t="shared" si="0"/>
        <v>4.0456000000000003</v>
      </c>
      <c r="G25" s="251">
        <f t="shared" si="1"/>
        <v>0.11461318051575931</v>
      </c>
    </row>
    <row r="26" spans="1:7" ht="12.75" customHeight="1" x14ac:dyDescent="0.15">
      <c r="A26" s="390"/>
      <c r="B26" s="368"/>
      <c r="C26" s="20" t="s">
        <v>30</v>
      </c>
      <c r="D26" s="13">
        <v>3.49</v>
      </c>
      <c r="E26" s="133">
        <v>3.89</v>
      </c>
      <c r="F26" s="131">
        <f t="shared" si="0"/>
        <v>4.0456000000000003</v>
      </c>
      <c r="G26" s="251">
        <f t="shared" si="1"/>
        <v>0.11461318051575931</v>
      </c>
    </row>
    <row r="27" spans="1:7" ht="12.75" customHeight="1" x14ac:dyDescent="0.15">
      <c r="A27" s="390"/>
      <c r="B27" s="366"/>
      <c r="C27" s="21" t="s">
        <v>33</v>
      </c>
      <c r="D27" s="13">
        <v>3.89</v>
      </c>
      <c r="E27" s="253">
        <v>3.89</v>
      </c>
      <c r="F27" s="131">
        <f t="shared" si="0"/>
        <v>4.0456000000000003</v>
      </c>
      <c r="G27" s="251">
        <f t="shared" si="1"/>
        <v>0</v>
      </c>
    </row>
    <row r="28" spans="1:7" ht="12.75" customHeight="1" x14ac:dyDescent="0.15">
      <c r="A28" s="390"/>
      <c r="B28" s="401" t="s">
        <v>35</v>
      </c>
      <c r="C28" s="8" t="s">
        <v>36</v>
      </c>
      <c r="D28" s="9">
        <v>2.89</v>
      </c>
      <c r="E28" s="136">
        <v>2.99</v>
      </c>
      <c r="F28" s="131">
        <f t="shared" si="0"/>
        <v>3.1096000000000004</v>
      </c>
      <c r="G28" s="251">
        <f t="shared" si="1"/>
        <v>3.460207612456756E-2</v>
      </c>
    </row>
    <row r="29" spans="1:7" ht="12.75" customHeight="1" x14ac:dyDescent="0.15">
      <c r="A29" s="390"/>
      <c r="B29" s="368"/>
      <c r="C29" s="12" t="s">
        <v>37</v>
      </c>
      <c r="D29" s="13">
        <v>2.89</v>
      </c>
      <c r="E29" s="133">
        <v>2.99</v>
      </c>
      <c r="F29" s="131">
        <f t="shared" si="0"/>
        <v>3.1096000000000004</v>
      </c>
      <c r="G29" s="251">
        <f t="shared" si="1"/>
        <v>3.460207612456756E-2</v>
      </c>
    </row>
    <row r="30" spans="1:7" ht="12.75" customHeight="1" x14ac:dyDescent="0.15">
      <c r="A30" s="390"/>
      <c r="B30" s="366"/>
      <c r="C30" s="12" t="s">
        <v>18</v>
      </c>
      <c r="D30" s="13">
        <v>2.89</v>
      </c>
      <c r="E30" s="133">
        <v>2.99</v>
      </c>
      <c r="F30" s="131">
        <f t="shared" si="0"/>
        <v>3.1096000000000004</v>
      </c>
      <c r="G30" s="251">
        <f t="shared" si="1"/>
        <v>3.460207612456756E-2</v>
      </c>
    </row>
    <row r="31" spans="1:7" ht="12.75" customHeight="1" x14ac:dyDescent="0.15">
      <c r="A31" s="390"/>
      <c r="B31" s="401" t="s">
        <v>38</v>
      </c>
      <c r="C31" s="12" t="s">
        <v>16</v>
      </c>
      <c r="D31" s="13">
        <v>3.79</v>
      </c>
      <c r="E31" s="133">
        <v>3.99</v>
      </c>
      <c r="F31" s="131">
        <f t="shared" si="0"/>
        <v>4.1496000000000004</v>
      </c>
      <c r="G31" s="251">
        <f t="shared" si="1"/>
        <v>5.2770448548812743E-2</v>
      </c>
    </row>
    <row r="32" spans="1:7" ht="12.75" customHeight="1" x14ac:dyDescent="0.15">
      <c r="A32" s="390"/>
      <c r="B32" s="366"/>
      <c r="C32" s="12" t="s">
        <v>8</v>
      </c>
      <c r="D32" s="13">
        <v>3.79</v>
      </c>
      <c r="E32" s="133">
        <v>3.99</v>
      </c>
      <c r="F32" s="131">
        <f t="shared" si="0"/>
        <v>4.1496000000000004</v>
      </c>
      <c r="G32" s="251">
        <f t="shared" si="1"/>
        <v>5.2770448548812743E-2</v>
      </c>
    </row>
    <row r="33" spans="1:7" ht="12.75" customHeight="1" x14ac:dyDescent="0.15">
      <c r="A33" s="390"/>
      <c r="B33" s="401" t="s">
        <v>39</v>
      </c>
      <c r="C33" s="12" t="s">
        <v>40</v>
      </c>
      <c r="D33" s="13">
        <v>4.49</v>
      </c>
      <c r="E33" s="252">
        <v>4.8899999999999997</v>
      </c>
      <c r="F33" s="131">
        <f t="shared" si="0"/>
        <v>5.0855999999999995</v>
      </c>
      <c r="G33" s="251">
        <f t="shared" si="1"/>
        <v>8.9086859688195963E-2</v>
      </c>
    </row>
    <row r="34" spans="1:7" ht="12.75" customHeight="1" x14ac:dyDescent="0.15">
      <c r="A34" s="391"/>
      <c r="B34" s="378"/>
      <c r="C34" s="19" t="s">
        <v>41</v>
      </c>
      <c r="D34" s="92">
        <v>22</v>
      </c>
      <c r="E34" s="254">
        <v>23.99</v>
      </c>
      <c r="F34" s="131">
        <f t="shared" si="0"/>
        <v>24.949599999999997</v>
      </c>
      <c r="G34" s="251">
        <f t="shared" si="1"/>
        <v>9.0454545454545343E-2</v>
      </c>
    </row>
    <row r="35" spans="1:7" ht="12.75" customHeight="1" x14ac:dyDescent="0.15">
      <c r="A35" s="400" t="s">
        <v>42</v>
      </c>
      <c r="B35" s="402" t="s">
        <v>43</v>
      </c>
      <c r="C35" s="7" t="s">
        <v>19</v>
      </c>
      <c r="D35" s="132">
        <v>1.35</v>
      </c>
      <c r="E35" s="131">
        <v>1.49</v>
      </c>
      <c r="F35" s="131">
        <f t="shared" si="0"/>
        <v>1.5496000000000001</v>
      </c>
      <c r="G35" s="251">
        <f t="shared" si="1"/>
        <v>0.10370370370370363</v>
      </c>
    </row>
    <row r="36" spans="1:7" ht="12.75" customHeight="1" x14ac:dyDescent="0.15">
      <c r="A36" s="390"/>
      <c r="B36" s="368"/>
      <c r="C36" s="21" t="s">
        <v>18</v>
      </c>
      <c r="D36" s="13">
        <v>1.35</v>
      </c>
      <c r="E36" s="133">
        <v>1.49</v>
      </c>
      <c r="F36" s="131">
        <f t="shared" si="0"/>
        <v>1.5496000000000001</v>
      </c>
      <c r="G36" s="251">
        <f t="shared" si="1"/>
        <v>0.10370370370370363</v>
      </c>
    </row>
    <row r="37" spans="1:7" ht="12.75" customHeight="1" x14ac:dyDescent="0.15">
      <c r="A37" s="390"/>
      <c r="B37" s="368"/>
      <c r="C37" s="21" t="s">
        <v>44</v>
      </c>
      <c r="D37" s="13">
        <v>1.35</v>
      </c>
      <c r="E37" s="133">
        <v>1.49</v>
      </c>
      <c r="F37" s="131">
        <f t="shared" si="0"/>
        <v>1.5496000000000001</v>
      </c>
      <c r="G37" s="251">
        <f t="shared" si="1"/>
        <v>0.10370370370370363</v>
      </c>
    </row>
    <row r="38" spans="1:7" ht="12.75" customHeight="1" x14ac:dyDescent="0.15">
      <c r="A38" s="390"/>
      <c r="B38" s="368"/>
      <c r="C38" s="21" t="s">
        <v>45</v>
      </c>
      <c r="D38" s="13">
        <v>1.35</v>
      </c>
      <c r="E38" s="133">
        <v>1.49</v>
      </c>
      <c r="F38" s="131">
        <f t="shared" si="0"/>
        <v>1.5496000000000001</v>
      </c>
      <c r="G38" s="251">
        <f t="shared" si="1"/>
        <v>0.10370370370370363</v>
      </c>
    </row>
    <row r="39" spans="1:7" ht="12.75" customHeight="1" x14ac:dyDescent="0.15">
      <c r="A39" s="390"/>
      <c r="B39" s="368"/>
      <c r="C39" s="21" t="s">
        <v>36</v>
      </c>
      <c r="D39" s="13">
        <v>1.35</v>
      </c>
      <c r="E39" s="133">
        <v>1.49</v>
      </c>
      <c r="F39" s="131">
        <f t="shared" si="0"/>
        <v>1.5496000000000001</v>
      </c>
      <c r="G39" s="251">
        <f t="shared" si="1"/>
        <v>0.10370370370370363</v>
      </c>
    </row>
    <row r="40" spans="1:7" ht="12.75" customHeight="1" x14ac:dyDescent="0.15">
      <c r="A40" s="390"/>
      <c r="B40" s="366"/>
      <c r="C40" s="21" t="s">
        <v>46</v>
      </c>
      <c r="D40" s="13">
        <v>1.35</v>
      </c>
      <c r="E40" s="133">
        <v>1.49</v>
      </c>
      <c r="F40" s="131">
        <f t="shared" si="0"/>
        <v>1.5496000000000001</v>
      </c>
      <c r="G40" s="251">
        <f t="shared" si="1"/>
        <v>0.10370370370370363</v>
      </c>
    </row>
    <row r="41" spans="1:7" ht="12.75" customHeight="1" x14ac:dyDescent="0.15">
      <c r="A41" s="391"/>
      <c r="B41" s="26" t="s">
        <v>47</v>
      </c>
      <c r="C41" s="19" t="s">
        <v>19</v>
      </c>
      <c r="D41" s="92">
        <v>1.79</v>
      </c>
      <c r="E41" s="134">
        <v>1.99</v>
      </c>
      <c r="F41" s="131">
        <f t="shared" si="0"/>
        <v>2.0695999999999999</v>
      </c>
      <c r="G41" s="251">
        <f t="shared" si="1"/>
        <v>0.11173184357541888</v>
      </c>
    </row>
    <row r="42" spans="1:7" ht="12.75" customHeight="1" x14ac:dyDescent="0.15">
      <c r="A42" s="427" t="s">
        <v>48</v>
      </c>
      <c r="B42" s="402" t="s">
        <v>49</v>
      </c>
      <c r="C42" s="25" t="s">
        <v>50</v>
      </c>
      <c r="D42" s="132">
        <v>1.89</v>
      </c>
      <c r="E42" s="131">
        <v>1.99</v>
      </c>
      <c r="F42" s="131">
        <f t="shared" si="0"/>
        <v>2.0695999999999999</v>
      </c>
      <c r="G42" s="251">
        <f t="shared" si="1"/>
        <v>5.2910052910053018E-2</v>
      </c>
    </row>
    <row r="43" spans="1:7" ht="12.75" customHeight="1" x14ac:dyDescent="0.15">
      <c r="A43" s="390"/>
      <c r="B43" s="366"/>
      <c r="C43" s="12" t="s">
        <v>51</v>
      </c>
      <c r="D43" s="13">
        <v>3.49</v>
      </c>
      <c r="E43" s="133">
        <v>3.85</v>
      </c>
      <c r="F43" s="131">
        <f t="shared" si="0"/>
        <v>4.0040000000000004</v>
      </c>
      <c r="G43" s="251">
        <f t="shared" si="1"/>
        <v>0.1031518624641834</v>
      </c>
    </row>
    <row r="44" spans="1:7" ht="12.75" customHeight="1" x14ac:dyDescent="0.15">
      <c r="A44" s="391"/>
      <c r="B44" s="26" t="s">
        <v>52</v>
      </c>
      <c r="C44" s="27" t="s">
        <v>51</v>
      </c>
      <c r="D44" s="92">
        <v>3.39</v>
      </c>
      <c r="E44" s="134">
        <v>3.39</v>
      </c>
      <c r="F44" s="131">
        <f t="shared" si="0"/>
        <v>3.5256000000000003</v>
      </c>
      <c r="G44" s="251">
        <f t="shared" si="1"/>
        <v>0</v>
      </c>
    </row>
    <row r="45" spans="1:7" ht="12.75" customHeight="1" x14ac:dyDescent="0.15">
      <c r="A45" s="393" t="s">
        <v>53</v>
      </c>
      <c r="B45" s="402" t="s">
        <v>54</v>
      </c>
      <c r="C45" s="7" t="s">
        <v>36</v>
      </c>
      <c r="D45" s="132">
        <v>2.69</v>
      </c>
      <c r="E45" s="131">
        <v>2.89</v>
      </c>
      <c r="F45" s="131">
        <f t="shared" si="0"/>
        <v>3.0056000000000003</v>
      </c>
      <c r="G45" s="251">
        <f t="shared" si="1"/>
        <v>7.4349442379182173E-2</v>
      </c>
    </row>
    <row r="46" spans="1:7" ht="12.75" customHeight="1" x14ac:dyDescent="0.15">
      <c r="A46" s="390"/>
      <c r="B46" s="366"/>
      <c r="C46" s="21" t="s">
        <v>55</v>
      </c>
      <c r="D46" s="13">
        <v>2.69</v>
      </c>
      <c r="E46" s="133">
        <v>2.89</v>
      </c>
      <c r="F46" s="131">
        <f t="shared" si="0"/>
        <v>3.0056000000000003</v>
      </c>
      <c r="G46" s="251">
        <f t="shared" si="1"/>
        <v>7.4349442379182173E-2</v>
      </c>
    </row>
    <row r="47" spans="1:7" ht="12.75" customHeight="1" x14ac:dyDescent="0.15">
      <c r="A47" s="390"/>
      <c r="B47" s="16" t="s">
        <v>56</v>
      </c>
      <c r="C47" s="21"/>
      <c r="D47" s="13">
        <v>3.75</v>
      </c>
      <c r="E47" s="133">
        <v>3.89</v>
      </c>
      <c r="F47" s="131">
        <f t="shared" si="0"/>
        <v>4.0456000000000003</v>
      </c>
      <c r="G47" s="251">
        <f t="shared" si="1"/>
        <v>3.7333333333333441E-2</v>
      </c>
    </row>
    <row r="48" spans="1:7" ht="12.75" customHeight="1" x14ac:dyDescent="0.15">
      <c r="A48" s="390"/>
      <c r="B48" s="16" t="s">
        <v>58</v>
      </c>
      <c r="C48" s="21"/>
      <c r="D48" s="13">
        <v>2.4500000000000002</v>
      </c>
      <c r="E48" s="133">
        <v>2.4900000000000002</v>
      </c>
      <c r="F48" s="131">
        <f t="shared" si="0"/>
        <v>2.5896000000000003</v>
      </c>
      <c r="G48" s="251">
        <f t="shared" si="1"/>
        <v>1.6326530612244872E-2</v>
      </c>
    </row>
    <row r="49" spans="1:7" ht="12.75" customHeight="1" x14ac:dyDescent="0.15">
      <c r="A49" s="391"/>
      <c r="B49" s="26" t="s">
        <v>59</v>
      </c>
      <c r="C49" s="27"/>
      <c r="D49" s="92">
        <v>1.69</v>
      </c>
      <c r="E49" s="134">
        <v>1.69</v>
      </c>
      <c r="F49" s="131">
        <f t="shared" si="0"/>
        <v>1.7576000000000001</v>
      </c>
      <c r="G49" s="251">
        <f t="shared" si="1"/>
        <v>0</v>
      </c>
    </row>
    <row r="50" spans="1:7" ht="12.75" customHeight="1" x14ac:dyDescent="0.15">
      <c r="A50" s="400" t="s">
        <v>67</v>
      </c>
      <c r="B50" s="402" t="s">
        <v>68</v>
      </c>
      <c r="C50" s="25" t="s">
        <v>8</v>
      </c>
      <c r="D50" s="132">
        <v>19.989999999999998</v>
      </c>
      <c r="E50" s="131">
        <v>21.99</v>
      </c>
      <c r="F50" s="131">
        <f t="shared" si="0"/>
        <v>22.869599999999998</v>
      </c>
      <c r="G50" s="251">
        <f t="shared" si="1"/>
        <v>0.10005002501250626</v>
      </c>
    </row>
    <row r="51" spans="1:7" ht="12.75" customHeight="1" x14ac:dyDescent="0.15">
      <c r="A51" s="390"/>
      <c r="B51" s="368"/>
      <c r="C51" s="21" t="s">
        <v>9</v>
      </c>
      <c r="D51" s="13">
        <v>19.989999999999998</v>
      </c>
      <c r="E51" s="133">
        <v>21.99</v>
      </c>
      <c r="F51" s="131">
        <f t="shared" si="0"/>
        <v>22.869599999999998</v>
      </c>
      <c r="G51" s="251">
        <f t="shared" si="1"/>
        <v>0.10005002501250626</v>
      </c>
    </row>
    <row r="52" spans="1:7" ht="12.75" customHeight="1" x14ac:dyDescent="0.15">
      <c r="A52" s="390"/>
      <c r="B52" s="368"/>
      <c r="C52" s="21" t="s">
        <v>10</v>
      </c>
      <c r="D52" s="13">
        <v>19.989999999999998</v>
      </c>
      <c r="E52" s="133">
        <v>21.99</v>
      </c>
      <c r="F52" s="131">
        <f t="shared" si="0"/>
        <v>22.869599999999998</v>
      </c>
      <c r="G52" s="251">
        <f t="shared" si="1"/>
        <v>0.10005002501250626</v>
      </c>
    </row>
    <row r="53" spans="1:7" ht="12.75" customHeight="1" x14ac:dyDescent="0.15">
      <c r="A53" s="390"/>
      <c r="B53" s="366"/>
      <c r="C53" s="21" t="s">
        <v>16</v>
      </c>
      <c r="D53" s="13">
        <v>19.989999999999998</v>
      </c>
      <c r="E53" s="133">
        <v>21.99</v>
      </c>
      <c r="F53" s="131">
        <f t="shared" si="0"/>
        <v>22.869599999999998</v>
      </c>
      <c r="G53" s="251">
        <f t="shared" si="1"/>
        <v>0.10005002501250626</v>
      </c>
    </row>
    <row r="54" spans="1:7" ht="12.75" customHeight="1" x14ac:dyDescent="0.15">
      <c r="A54" s="390"/>
      <c r="B54" s="401" t="s">
        <v>75</v>
      </c>
      <c r="C54" s="21" t="s">
        <v>76</v>
      </c>
      <c r="D54" s="13">
        <v>37.99</v>
      </c>
      <c r="E54" s="133">
        <v>42.99</v>
      </c>
      <c r="F54" s="131">
        <f t="shared" si="0"/>
        <v>44.709600000000002</v>
      </c>
      <c r="G54" s="251">
        <f t="shared" si="1"/>
        <v>0.13161358252171618</v>
      </c>
    </row>
    <row r="55" spans="1:7" ht="12.75" customHeight="1" x14ac:dyDescent="0.15">
      <c r="A55" s="390"/>
      <c r="B55" s="366"/>
      <c r="C55" s="12" t="s">
        <v>77</v>
      </c>
      <c r="D55" s="13">
        <v>37.99</v>
      </c>
      <c r="E55" s="133">
        <v>42.99</v>
      </c>
      <c r="F55" s="131">
        <f t="shared" si="0"/>
        <v>44.709600000000002</v>
      </c>
      <c r="G55" s="251">
        <f t="shared" si="1"/>
        <v>0.13161358252171618</v>
      </c>
    </row>
    <row r="56" spans="1:7" ht="12.75" customHeight="1" x14ac:dyDescent="0.15">
      <c r="A56" s="390"/>
      <c r="B56" s="401" t="s">
        <v>78</v>
      </c>
      <c r="C56" s="21" t="s">
        <v>79</v>
      </c>
      <c r="D56" s="13">
        <v>14.99</v>
      </c>
      <c r="E56" s="133">
        <v>16.489999999999998</v>
      </c>
      <c r="F56" s="131">
        <f t="shared" si="0"/>
        <v>17.1496</v>
      </c>
      <c r="G56" s="251">
        <f t="shared" si="1"/>
        <v>0.10006671114076049</v>
      </c>
    </row>
    <row r="57" spans="1:7" ht="12.75" customHeight="1" x14ac:dyDescent="0.15">
      <c r="A57" s="390"/>
      <c r="B57" s="366"/>
      <c r="C57" s="21" t="s">
        <v>80</v>
      </c>
      <c r="D57" s="13">
        <v>19.989999999999998</v>
      </c>
      <c r="E57" s="133">
        <v>19.989999999999998</v>
      </c>
      <c r="F57" s="131">
        <f t="shared" si="0"/>
        <v>20.7896</v>
      </c>
      <c r="G57" s="251">
        <f t="shared" si="1"/>
        <v>0</v>
      </c>
    </row>
    <row r="58" spans="1:7" ht="12.75" customHeight="1" x14ac:dyDescent="0.15">
      <c r="A58" s="391"/>
      <c r="B58" s="26" t="s">
        <v>81</v>
      </c>
      <c r="C58" s="27"/>
      <c r="D58" s="92">
        <v>29.99</v>
      </c>
      <c r="E58" s="293">
        <v>31.99</v>
      </c>
      <c r="F58" s="131">
        <f t="shared" si="0"/>
        <v>33.269599999999997</v>
      </c>
      <c r="G58" s="251">
        <f t="shared" si="1"/>
        <v>6.6688896298766176E-2</v>
      </c>
    </row>
    <row r="59" spans="1:7" ht="12.75" customHeight="1" x14ac:dyDescent="0.15">
      <c r="A59" s="400" t="s">
        <v>88</v>
      </c>
      <c r="B59" s="33" t="s">
        <v>89</v>
      </c>
      <c r="C59" s="25"/>
      <c r="D59" s="132">
        <v>2.69</v>
      </c>
      <c r="E59" s="131">
        <v>2.79</v>
      </c>
      <c r="F59" s="131">
        <f t="shared" si="0"/>
        <v>2.9016000000000002</v>
      </c>
      <c r="G59" s="251">
        <f t="shared" si="1"/>
        <v>3.7174721189591198E-2</v>
      </c>
    </row>
    <row r="60" spans="1:7" ht="12.75" customHeight="1" x14ac:dyDescent="0.15">
      <c r="A60" s="390"/>
      <c r="B60" s="16" t="s">
        <v>90</v>
      </c>
      <c r="C60" s="21"/>
      <c r="D60" s="13">
        <v>4.99</v>
      </c>
      <c r="E60" s="133">
        <v>5.49</v>
      </c>
      <c r="F60" s="131">
        <f t="shared" si="0"/>
        <v>5.7096</v>
      </c>
      <c r="G60" s="251">
        <f t="shared" si="1"/>
        <v>0.10020040080160331</v>
      </c>
    </row>
    <row r="61" spans="1:7" ht="12.75" customHeight="1" x14ac:dyDescent="0.15">
      <c r="A61" s="390"/>
      <c r="B61" s="401" t="s">
        <v>91</v>
      </c>
      <c r="C61" s="21" t="s">
        <v>721</v>
      </c>
      <c r="D61" s="13">
        <v>4.99</v>
      </c>
      <c r="E61" s="133">
        <v>5.49</v>
      </c>
      <c r="F61" s="131">
        <f t="shared" si="0"/>
        <v>5.7096</v>
      </c>
      <c r="G61" s="251">
        <f t="shared" si="1"/>
        <v>0.10020040080160331</v>
      </c>
    </row>
    <row r="62" spans="1:7" ht="12.75" customHeight="1" x14ac:dyDescent="0.15">
      <c r="A62" s="391"/>
      <c r="B62" s="378"/>
      <c r="C62" s="19" t="s">
        <v>93</v>
      </c>
      <c r="D62" s="92">
        <v>4.99</v>
      </c>
      <c r="E62" s="134">
        <v>5.49</v>
      </c>
      <c r="F62" s="131">
        <f t="shared" si="0"/>
        <v>5.7096</v>
      </c>
      <c r="G62" s="251">
        <f t="shared" si="1"/>
        <v>0.10020040080160331</v>
      </c>
    </row>
    <row r="63" spans="1:7" ht="12.75" customHeight="1" x14ac:dyDescent="0.15">
      <c r="A63" s="400" t="s">
        <v>94</v>
      </c>
      <c r="B63" s="33" t="s">
        <v>95</v>
      </c>
      <c r="C63" s="25"/>
      <c r="D63" s="132">
        <v>10.29</v>
      </c>
      <c r="E63" s="131">
        <v>10.29</v>
      </c>
      <c r="F63" s="131">
        <f t="shared" si="0"/>
        <v>10.701599999999999</v>
      </c>
      <c r="G63" s="251">
        <f t="shared" si="1"/>
        <v>0</v>
      </c>
    </row>
    <row r="64" spans="1:7" ht="12.75" customHeight="1" x14ac:dyDescent="0.15">
      <c r="A64" s="390"/>
      <c r="B64" s="16" t="s">
        <v>96</v>
      </c>
      <c r="C64" s="21"/>
      <c r="D64" s="13">
        <v>8.2899999999999991</v>
      </c>
      <c r="E64" s="133">
        <v>8.2899999999999991</v>
      </c>
      <c r="F64" s="131">
        <f t="shared" si="0"/>
        <v>8.621599999999999</v>
      </c>
      <c r="G64" s="251">
        <f t="shared" si="1"/>
        <v>0</v>
      </c>
    </row>
    <row r="65" spans="1:7" ht="12.75" customHeight="1" x14ac:dyDescent="0.15">
      <c r="A65" s="391"/>
      <c r="B65" s="26" t="s">
        <v>97</v>
      </c>
      <c r="C65" s="27"/>
      <c r="D65" s="92">
        <v>5.69</v>
      </c>
      <c r="E65" s="134">
        <v>6.79</v>
      </c>
      <c r="F65" s="131">
        <f t="shared" si="0"/>
        <v>7.0616000000000003</v>
      </c>
      <c r="G65" s="251">
        <f t="shared" si="1"/>
        <v>0.19332161687170468</v>
      </c>
    </row>
    <row r="66" spans="1:7" ht="12.75" customHeight="1" x14ac:dyDescent="0.15">
      <c r="A66" s="400" t="s">
        <v>98</v>
      </c>
      <c r="B66" s="402" t="s">
        <v>722</v>
      </c>
      <c r="C66" s="7" t="s">
        <v>723</v>
      </c>
      <c r="D66" s="132">
        <v>3.49</v>
      </c>
      <c r="E66" s="131">
        <v>3.79</v>
      </c>
      <c r="F66" s="131">
        <f t="shared" si="0"/>
        <v>3.9416000000000002</v>
      </c>
      <c r="G66" s="251">
        <f t="shared" si="1"/>
        <v>8.5959885386819535E-2</v>
      </c>
    </row>
    <row r="67" spans="1:7" ht="12.75" customHeight="1" x14ac:dyDescent="0.15">
      <c r="A67" s="390"/>
      <c r="B67" s="366"/>
      <c r="C67" s="21" t="s">
        <v>724</v>
      </c>
      <c r="D67" s="13"/>
      <c r="E67" s="133"/>
      <c r="F67" s="131">
        <f t="shared" si="0"/>
        <v>0</v>
      </c>
      <c r="G67" s="251"/>
    </row>
    <row r="68" spans="1:7" ht="12.75" customHeight="1" x14ac:dyDescent="0.15">
      <c r="A68" s="390"/>
      <c r="B68" s="401" t="s">
        <v>725</v>
      </c>
      <c r="C68" s="12" t="s">
        <v>102</v>
      </c>
      <c r="D68" s="13">
        <v>3.49</v>
      </c>
      <c r="E68" s="133">
        <v>3.79</v>
      </c>
      <c r="F68" s="131">
        <f t="shared" si="0"/>
        <v>3.9416000000000002</v>
      </c>
      <c r="G68" s="251">
        <f>+(E68/D68)-1</f>
        <v>8.5959885386819535E-2</v>
      </c>
    </row>
    <row r="69" spans="1:7" ht="12.75" customHeight="1" x14ac:dyDescent="0.15">
      <c r="A69" s="391"/>
      <c r="B69" s="378"/>
      <c r="C69" s="19" t="s">
        <v>103</v>
      </c>
      <c r="D69" s="92"/>
      <c r="E69" s="134"/>
      <c r="F69" s="131">
        <f t="shared" si="0"/>
        <v>0</v>
      </c>
      <c r="G69" s="251"/>
    </row>
    <row r="70" spans="1:7" ht="12.75" customHeight="1" x14ac:dyDescent="0.15">
      <c r="A70" s="400" t="s">
        <v>104</v>
      </c>
      <c r="B70" s="40" t="s">
        <v>105</v>
      </c>
      <c r="C70" s="30" t="s">
        <v>106</v>
      </c>
      <c r="D70" s="138">
        <v>1.49</v>
      </c>
      <c r="E70" s="137">
        <v>1.49</v>
      </c>
      <c r="F70" s="131">
        <f t="shared" si="0"/>
        <v>1.5496000000000001</v>
      </c>
      <c r="G70" s="251">
        <f t="shared" ref="G70:G125" si="2">+(E70/D70)-1</f>
        <v>0</v>
      </c>
    </row>
    <row r="71" spans="1:7" ht="12.75" customHeight="1" x14ac:dyDescent="0.15">
      <c r="A71" s="390"/>
      <c r="B71" s="41" t="s">
        <v>108</v>
      </c>
      <c r="C71" s="25" t="s">
        <v>109</v>
      </c>
      <c r="D71" s="132">
        <v>34.99</v>
      </c>
      <c r="E71" s="131">
        <v>37.99</v>
      </c>
      <c r="F71" s="131">
        <f t="shared" si="0"/>
        <v>39.509599999999999</v>
      </c>
      <c r="G71" s="251">
        <f t="shared" si="2"/>
        <v>8.5738782509288347E-2</v>
      </c>
    </row>
    <row r="72" spans="1:7" ht="12.75" customHeight="1" x14ac:dyDescent="0.15">
      <c r="A72" s="390"/>
      <c r="B72" s="16" t="s">
        <v>110</v>
      </c>
      <c r="C72" s="21" t="s">
        <v>111</v>
      </c>
      <c r="D72" s="13">
        <v>7.99</v>
      </c>
      <c r="E72" s="133">
        <v>8.69</v>
      </c>
      <c r="F72" s="131">
        <f t="shared" si="0"/>
        <v>9.0375999999999994</v>
      </c>
      <c r="G72" s="251">
        <f t="shared" si="2"/>
        <v>8.7609511889862324E-2</v>
      </c>
    </row>
    <row r="73" spans="1:7" ht="12.75" customHeight="1" x14ac:dyDescent="0.15">
      <c r="A73" s="390"/>
      <c r="B73" s="16" t="s">
        <v>114</v>
      </c>
      <c r="C73" s="21" t="s">
        <v>115</v>
      </c>
      <c r="D73" s="13">
        <v>5.69</v>
      </c>
      <c r="E73" s="133">
        <v>6.25</v>
      </c>
      <c r="F73" s="131">
        <f t="shared" si="0"/>
        <v>6.5</v>
      </c>
      <c r="G73" s="251">
        <f t="shared" si="2"/>
        <v>9.8418277680140553E-2</v>
      </c>
    </row>
    <row r="74" spans="1:7" ht="12.75" customHeight="1" x14ac:dyDescent="0.15">
      <c r="A74" s="390"/>
      <c r="B74" s="43" t="s">
        <v>116</v>
      </c>
      <c r="C74" s="139" t="s">
        <v>117</v>
      </c>
      <c r="D74" s="13">
        <v>9.99</v>
      </c>
      <c r="E74" s="133">
        <v>10.99</v>
      </c>
      <c r="F74" s="131">
        <f t="shared" si="0"/>
        <v>11.429600000000001</v>
      </c>
      <c r="G74" s="251">
        <f t="shared" si="2"/>
        <v>0.10010010010010006</v>
      </c>
    </row>
    <row r="75" spans="1:7" ht="12.75" customHeight="1" x14ac:dyDescent="0.15">
      <c r="A75" s="390"/>
      <c r="B75" s="16" t="s">
        <v>118</v>
      </c>
      <c r="C75" s="21" t="s">
        <v>726</v>
      </c>
      <c r="D75" s="13">
        <v>6.89</v>
      </c>
      <c r="E75" s="133">
        <v>7.49</v>
      </c>
      <c r="F75" s="131">
        <f t="shared" si="0"/>
        <v>7.7896000000000001</v>
      </c>
      <c r="G75" s="251">
        <f t="shared" si="2"/>
        <v>8.7082728592162706E-2</v>
      </c>
    </row>
    <row r="76" spans="1:7" ht="12.75" customHeight="1" x14ac:dyDescent="0.15">
      <c r="A76" s="390"/>
      <c r="B76" s="401" t="s">
        <v>120</v>
      </c>
      <c r="C76" s="21" t="s">
        <v>40</v>
      </c>
      <c r="D76" s="13">
        <v>5.99</v>
      </c>
      <c r="E76" s="252">
        <v>5.99</v>
      </c>
      <c r="F76" s="131">
        <f t="shared" si="0"/>
        <v>6.2296000000000005</v>
      </c>
      <c r="G76" s="251">
        <f t="shared" si="2"/>
        <v>0</v>
      </c>
    </row>
    <row r="77" spans="1:7" ht="12.75" customHeight="1" x14ac:dyDescent="0.15">
      <c r="A77" s="391"/>
      <c r="B77" s="378"/>
      <c r="C77" s="27" t="s">
        <v>121</v>
      </c>
      <c r="D77" s="92">
        <v>29.99</v>
      </c>
      <c r="E77" s="254">
        <v>29.99</v>
      </c>
      <c r="F77" s="131">
        <f t="shared" si="0"/>
        <v>31.189599999999999</v>
      </c>
      <c r="G77" s="251">
        <f t="shared" si="2"/>
        <v>0</v>
      </c>
    </row>
    <row r="78" spans="1:7" ht="12.75" customHeight="1" x14ac:dyDescent="0.15">
      <c r="A78" s="393" t="s">
        <v>122</v>
      </c>
      <c r="B78" s="402" t="s">
        <v>123</v>
      </c>
      <c r="C78" s="44" t="s">
        <v>124</v>
      </c>
      <c r="D78" s="141">
        <v>22.99</v>
      </c>
      <c r="E78" s="136">
        <v>22.99</v>
      </c>
      <c r="F78" s="131">
        <f t="shared" si="0"/>
        <v>23.909599999999998</v>
      </c>
      <c r="G78" s="251">
        <f t="shared" si="2"/>
        <v>0</v>
      </c>
    </row>
    <row r="79" spans="1:7" ht="12.75" customHeight="1" x14ac:dyDescent="0.15">
      <c r="A79" s="390"/>
      <c r="B79" s="366"/>
      <c r="C79" s="46" t="s">
        <v>125</v>
      </c>
      <c r="D79" s="70">
        <v>25.99</v>
      </c>
      <c r="E79" s="133">
        <v>25.99</v>
      </c>
      <c r="F79" s="131">
        <f t="shared" si="0"/>
        <v>27.029599999999999</v>
      </c>
      <c r="G79" s="251">
        <f t="shared" si="2"/>
        <v>0</v>
      </c>
    </row>
    <row r="80" spans="1:7" ht="12.75" customHeight="1" x14ac:dyDescent="0.15">
      <c r="A80" s="390"/>
      <c r="B80" s="401" t="s">
        <v>128</v>
      </c>
      <c r="C80" s="46" t="s">
        <v>129</v>
      </c>
      <c r="D80" s="70">
        <v>1.99</v>
      </c>
      <c r="E80" s="133">
        <v>1.99</v>
      </c>
      <c r="F80" s="131">
        <f t="shared" si="0"/>
        <v>2.0695999999999999</v>
      </c>
      <c r="G80" s="251">
        <f t="shared" si="2"/>
        <v>0</v>
      </c>
    </row>
    <row r="81" spans="1:7" ht="12.75" customHeight="1" x14ac:dyDescent="0.15">
      <c r="A81" s="390"/>
      <c r="B81" s="368"/>
      <c r="C81" s="46" t="s">
        <v>130</v>
      </c>
      <c r="D81" s="70">
        <v>2.69</v>
      </c>
      <c r="E81" s="133">
        <v>2.69</v>
      </c>
      <c r="F81" s="131">
        <f t="shared" si="0"/>
        <v>2.7976000000000001</v>
      </c>
      <c r="G81" s="251">
        <f t="shared" si="2"/>
        <v>0</v>
      </c>
    </row>
    <row r="82" spans="1:7" ht="12.75" customHeight="1" x14ac:dyDescent="0.15">
      <c r="A82" s="390"/>
      <c r="B82" s="366"/>
      <c r="C82" s="46" t="s">
        <v>131</v>
      </c>
      <c r="D82" s="70">
        <v>3.49</v>
      </c>
      <c r="E82" s="133">
        <v>3.49</v>
      </c>
      <c r="F82" s="131">
        <f t="shared" si="0"/>
        <v>3.6296000000000004</v>
      </c>
      <c r="G82" s="251">
        <f t="shared" si="2"/>
        <v>0</v>
      </c>
    </row>
    <row r="83" spans="1:7" ht="12.75" customHeight="1" x14ac:dyDescent="0.15">
      <c r="A83" s="390"/>
      <c r="B83" s="401" t="s">
        <v>125</v>
      </c>
      <c r="C83" s="46" t="s">
        <v>129</v>
      </c>
      <c r="D83" s="70">
        <v>2.99</v>
      </c>
      <c r="E83" s="133">
        <v>3.25</v>
      </c>
      <c r="F83" s="131">
        <f t="shared" si="0"/>
        <v>3.38</v>
      </c>
      <c r="G83" s="251">
        <f t="shared" si="2"/>
        <v>8.6956521739130377E-2</v>
      </c>
    </row>
    <row r="84" spans="1:7" ht="12.75" customHeight="1" x14ac:dyDescent="0.15">
      <c r="A84" s="390"/>
      <c r="B84" s="368"/>
      <c r="C84" s="46" t="s">
        <v>130</v>
      </c>
      <c r="D84" s="70">
        <v>3.99</v>
      </c>
      <c r="E84" s="133">
        <v>4.3499999999999996</v>
      </c>
      <c r="F84" s="131">
        <f t="shared" si="0"/>
        <v>4.524</v>
      </c>
      <c r="G84" s="251">
        <f t="shared" si="2"/>
        <v>9.0225563909774209E-2</v>
      </c>
    </row>
    <row r="85" spans="1:7" ht="12.75" customHeight="1" x14ac:dyDescent="0.15">
      <c r="A85" s="390"/>
      <c r="B85" s="366"/>
      <c r="C85" s="46" t="s">
        <v>131</v>
      </c>
      <c r="D85" s="70">
        <v>5.69</v>
      </c>
      <c r="E85" s="133">
        <v>6.25</v>
      </c>
      <c r="F85" s="131">
        <f t="shared" si="0"/>
        <v>6.5</v>
      </c>
      <c r="G85" s="251">
        <f t="shared" si="2"/>
        <v>9.8418277680140553E-2</v>
      </c>
    </row>
    <row r="86" spans="1:7" ht="12.75" customHeight="1" x14ac:dyDescent="0.15">
      <c r="A86" s="390"/>
      <c r="B86" s="401" t="s">
        <v>132</v>
      </c>
      <c r="C86" s="46" t="s">
        <v>129</v>
      </c>
      <c r="D86" s="70">
        <v>3.29</v>
      </c>
      <c r="E86" s="133">
        <v>3.59</v>
      </c>
      <c r="F86" s="131">
        <f t="shared" si="0"/>
        <v>3.7336</v>
      </c>
      <c r="G86" s="251">
        <f t="shared" si="2"/>
        <v>9.1185410334346351E-2</v>
      </c>
    </row>
    <row r="87" spans="1:7" ht="12.75" customHeight="1" x14ac:dyDescent="0.15">
      <c r="A87" s="390"/>
      <c r="B87" s="368"/>
      <c r="C87" s="46" t="s">
        <v>130</v>
      </c>
      <c r="D87" s="70">
        <v>4.49</v>
      </c>
      <c r="E87" s="133">
        <v>4.8899999999999997</v>
      </c>
      <c r="F87" s="131">
        <f t="shared" si="0"/>
        <v>5.0855999999999995</v>
      </c>
      <c r="G87" s="251">
        <f t="shared" si="2"/>
        <v>8.9086859688195963E-2</v>
      </c>
    </row>
    <row r="88" spans="1:7" ht="12.75" customHeight="1" x14ac:dyDescent="0.15">
      <c r="A88" s="390"/>
      <c r="B88" s="366"/>
      <c r="C88" s="46" t="s">
        <v>131</v>
      </c>
      <c r="D88" s="70">
        <v>5.99</v>
      </c>
      <c r="E88" s="133">
        <v>6.59</v>
      </c>
      <c r="F88" s="131">
        <f t="shared" si="0"/>
        <v>6.8536000000000001</v>
      </c>
      <c r="G88" s="251">
        <f t="shared" si="2"/>
        <v>0.10016694490818034</v>
      </c>
    </row>
    <row r="89" spans="1:7" ht="12.75" customHeight="1" x14ac:dyDescent="0.15">
      <c r="A89" s="390"/>
      <c r="B89" s="401" t="s">
        <v>133</v>
      </c>
      <c r="C89" s="46" t="s">
        <v>130</v>
      </c>
      <c r="D89" s="70">
        <v>4.49</v>
      </c>
      <c r="E89" s="133">
        <v>4.8899999999999997</v>
      </c>
      <c r="F89" s="131">
        <f t="shared" si="0"/>
        <v>5.0855999999999995</v>
      </c>
      <c r="G89" s="251">
        <f t="shared" si="2"/>
        <v>8.9086859688195963E-2</v>
      </c>
    </row>
    <row r="90" spans="1:7" ht="12.75" customHeight="1" x14ac:dyDescent="0.15">
      <c r="A90" s="390"/>
      <c r="B90" s="366"/>
      <c r="C90" s="46" t="s">
        <v>131</v>
      </c>
      <c r="D90" s="70">
        <v>5.99</v>
      </c>
      <c r="E90" s="133">
        <v>6.59</v>
      </c>
      <c r="F90" s="131">
        <f t="shared" si="0"/>
        <v>6.8536000000000001</v>
      </c>
      <c r="G90" s="251">
        <f t="shared" si="2"/>
        <v>0.10016694490818034</v>
      </c>
    </row>
    <row r="91" spans="1:7" ht="12.75" customHeight="1" x14ac:dyDescent="0.15">
      <c r="A91" s="390"/>
      <c r="B91" s="401" t="s">
        <v>134</v>
      </c>
      <c r="C91" s="46" t="s">
        <v>135</v>
      </c>
      <c r="D91" s="70">
        <v>2.59</v>
      </c>
      <c r="E91" s="133">
        <v>2.79</v>
      </c>
      <c r="F91" s="131">
        <f t="shared" si="0"/>
        <v>2.9016000000000002</v>
      </c>
      <c r="G91" s="251">
        <f t="shared" si="2"/>
        <v>7.7220077220077288E-2</v>
      </c>
    </row>
    <row r="92" spans="1:7" ht="12.75" customHeight="1" x14ac:dyDescent="0.15">
      <c r="A92" s="390"/>
      <c r="B92" s="366"/>
      <c r="C92" s="46" t="s">
        <v>136</v>
      </c>
      <c r="D92" s="70">
        <v>2.79</v>
      </c>
      <c r="E92" s="133">
        <v>2.99</v>
      </c>
      <c r="F92" s="131">
        <f t="shared" si="0"/>
        <v>3.1096000000000004</v>
      </c>
      <c r="G92" s="251">
        <f t="shared" si="2"/>
        <v>7.1684587813620082E-2</v>
      </c>
    </row>
    <row r="93" spans="1:7" ht="12.75" customHeight="1" x14ac:dyDescent="0.15">
      <c r="A93" s="390"/>
      <c r="B93" s="16" t="s">
        <v>137</v>
      </c>
      <c r="C93" s="42" t="s">
        <v>138</v>
      </c>
      <c r="D93" s="70">
        <v>0.37</v>
      </c>
      <c r="E93" s="133">
        <v>0.37</v>
      </c>
      <c r="F93" s="131">
        <f t="shared" si="0"/>
        <v>0.38479999999999998</v>
      </c>
      <c r="G93" s="251">
        <f t="shared" si="2"/>
        <v>0</v>
      </c>
    </row>
    <row r="94" spans="1:7" ht="12.75" customHeight="1" x14ac:dyDescent="0.15">
      <c r="A94" s="390"/>
      <c r="B94" s="401" t="s">
        <v>139</v>
      </c>
      <c r="C94" s="42" t="s">
        <v>140</v>
      </c>
      <c r="D94" s="70">
        <v>1.59</v>
      </c>
      <c r="E94" s="133">
        <v>1.75</v>
      </c>
      <c r="F94" s="131">
        <f t="shared" si="0"/>
        <v>1.82</v>
      </c>
      <c r="G94" s="251">
        <f t="shared" si="2"/>
        <v>0.10062893081761004</v>
      </c>
    </row>
    <row r="95" spans="1:7" ht="12.75" customHeight="1" x14ac:dyDescent="0.15">
      <c r="A95" s="390"/>
      <c r="B95" s="366"/>
      <c r="C95" s="42" t="s">
        <v>135</v>
      </c>
      <c r="D95" s="70">
        <v>2.19</v>
      </c>
      <c r="E95" s="133">
        <v>2.4900000000000002</v>
      </c>
      <c r="F95" s="131">
        <f t="shared" si="0"/>
        <v>2.5896000000000003</v>
      </c>
      <c r="G95" s="251">
        <f t="shared" si="2"/>
        <v>0.13698630136986312</v>
      </c>
    </row>
    <row r="96" spans="1:7" ht="12.75" customHeight="1" x14ac:dyDescent="0.15">
      <c r="A96" s="390"/>
      <c r="B96" s="365" t="s">
        <v>141</v>
      </c>
      <c r="C96" s="42" t="s">
        <v>140</v>
      </c>
      <c r="D96" s="70">
        <v>1.69</v>
      </c>
      <c r="E96" s="133">
        <v>1.75</v>
      </c>
      <c r="F96" s="131">
        <f t="shared" si="0"/>
        <v>1.82</v>
      </c>
      <c r="G96" s="251">
        <f t="shared" si="2"/>
        <v>3.5502958579881616E-2</v>
      </c>
    </row>
    <row r="97" spans="1:8" ht="12.75" customHeight="1" x14ac:dyDescent="0.15">
      <c r="A97" s="390"/>
      <c r="B97" s="366"/>
      <c r="C97" s="42" t="s">
        <v>135</v>
      </c>
      <c r="D97" s="70">
        <v>2.29</v>
      </c>
      <c r="E97" s="133">
        <v>2.4900000000000002</v>
      </c>
      <c r="F97" s="131">
        <f t="shared" si="0"/>
        <v>2.5896000000000003</v>
      </c>
      <c r="G97" s="251">
        <f t="shared" si="2"/>
        <v>8.7336244541484698E-2</v>
      </c>
    </row>
    <row r="98" spans="1:8" ht="12.75" customHeight="1" x14ac:dyDescent="0.15">
      <c r="A98" s="390"/>
      <c r="B98" s="365" t="s">
        <v>142</v>
      </c>
      <c r="C98" s="46" t="s">
        <v>129</v>
      </c>
      <c r="D98" s="70">
        <v>4.1900000000000004</v>
      </c>
      <c r="E98" s="133">
        <v>4.59</v>
      </c>
      <c r="F98" s="131">
        <f t="shared" si="0"/>
        <v>4.7736000000000001</v>
      </c>
      <c r="G98" s="251">
        <f t="shared" si="2"/>
        <v>9.5465393794749165E-2</v>
      </c>
    </row>
    <row r="99" spans="1:8" ht="12.75" customHeight="1" x14ac:dyDescent="0.15">
      <c r="A99" s="390"/>
      <c r="B99" s="368"/>
      <c r="C99" s="46" t="s">
        <v>130</v>
      </c>
      <c r="D99" s="70">
        <v>5.19</v>
      </c>
      <c r="E99" s="133">
        <v>5.69</v>
      </c>
      <c r="F99" s="131">
        <f t="shared" si="0"/>
        <v>5.9176000000000002</v>
      </c>
      <c r="G99" s="251">
        <f t="shared" si="2"/>
        <v>9.6339113680154131E-2</v>
      </c>
    </row>
    <row r="100" spans="1:8" ht="12.75" customHeight="1" x14ac:dyDescent="0.15">
      <c r="A100" s="390"/>
      <c r="B100" s="366"/>
      <c r="C100" s="46" t="s">
        <v>131</v>
      </c>
      <c r="D100" s="70">
        <v>5.99</v>
      </c>
      <c r="E100" s="133">
        <v>6.59</v>
      </c>
      <c r="F100" s="131">
        <f t="shared" si="0"/>
        <v>6.8536000000000001</v>
      </c>
      <c r="G100" s="251">
        <f t="shared" si="2"/>
        <v>0.10016694490818034</v>
      </c>
    </row>
    <row r="101" spans="1:8" ht="12.75" customHeight="1" x14ac:dyDescent="0.15">
      <c r="A101" s="390"/>
      <c r="B101" s="256" t="s">
        <v>143</v>
      </c>
      <c r="C101" s="59"/>
      <c r="D101" s="144">
        <v>3.49</v>
      </c>
      <c r="E101" s="134">
        <v>3.49</v>
      </c>
      <c r="F101" s="131">
        <f t="shared" si="0"/>
        <v>3.6296000000000004</v>
      </c>
      <c r="G101" s="251">
        <f t="shared" si="2"/>
        <v>0</v>
      </c>
    </row>
    <row r="102" spans="1:8" ht="12.75" customHeight="1" x14ac:dyDescent="0.15">
      <c r="A102" s="390"/>
      <c r="B102" s="365" t="s">
        <v>144</v>
      </c>
      <c r="C102" s="42" t="s">
        <v>130</v>
      </c>
      <c r="D102" s="70">
        <v>2.59</v>
      </c>
      <c r="E102" s="70">
        <v>2.59</v>
      </c>
      <c r="F102" s="131">
        <f t="shared" si="0"/>
        <v>2.6936</v>
      </c>
      <c r="G102" s="251">
        <f t="shared" si="2"/>
        <v>0</v>
      </c>
      <c r="H102" s="258"/>
    </row>
    <row r="103" spans="1:8" ht="12.75" customHeight="1" x14ac:dyDescent="0.15">
      <c r="A103" s="390"/>
      <c r="B103" s="366"/>
      <c r="C103" s="42" t="s">
        <v>131</v>
      </c>
      <c r="D103" s="70">
        <v>3.49</v>
      </c>
      <c r="E103" s="70">
        <v>3.49</v>
      </c>
      <c r="F103" s="131">
        <f t="shared" si="0"/>
        <v>3.6296000000000004</v>
      </c>
      <c r="G103" s="251">
        <f t="shared" si="2"/>
        <v>0</v>
      </c>
      <c r="H103" s="258"/>
    </row>
    <row r="104" spans="1:8" ht="12.75" customHeight="1" x14ac:dyDescent="0.15">
      <c r="A104" s="390"/>
      <c r="B104" s="365" t="s">
        <v>147</v>
      </c>
      <c r="C104" s="42" t="s">
        <v>130</v>
      </c>
      <c r="D104" s="142">
        <v>4.49</v>
      </c>
      <c r="E104" s="142">
        <v>4.49</v>
      </c>
      <c r="F104" s="131">
        <f t="shared" si="0"/>
        <v>4.6696</v>
      </c>
      <c r="G104" s="251">
        <f t="shared" si="2"/>
        <v>0</v>
      </c>
      <c r="H104" s="258"/>
    </row>
    <row r="105" spans="1:8" ht="12.75" customHeight="1" x14ac:dyDescent="0.15">
      <c r="A105" s="390"/>
      <c r="B105" s="366"/>
      <c r="C105" s="42" t="s">
        <v>131</v>
      </c>
      <c r="D105" s="142">
        <v>5.29</v>
      </c>
      <c r="E105" s="142">
        <v>5.29</v>
      </c>
      <c r="F105" s="131">
        <f t="shared" si="0"/>
        <v>5.5015999999999998</v>
      </c>
      <c r="G105" s="251">
        <f t="shared" si="2"/>
        <v>0</v>
      </c>
      <c r="H105" s="258"/>
    </row>
    <row r="106" spans="1:8" ht="12.75" customHeight="1" x14ac:dyDescent="0.15">
      <c r="A106" s="390"/>
      <c r="B106" s="42" t="s">
        <v>148</v>
      </c>
      <c r="C106" s="70" t="s">
        <v>149</v>
      </c>
      <c r="D106" s="133">
        <v>6.75</v>
      </c>
      <c r="E106" s="133">
        <v>6.75</v>
      </c>
      <c r="F106" s="131">
        <f t="shared" si="0"/>
        <v>7.02</v>
      </c>
      <c r="G106" s="251">
        <f t="shared" si="2"/>
        <v>0</v>
      </c>
      <c r="H106" s="258"/>
    </row>
    <row r="107" spans="1:8" ht="12.75" customHeight="1" x14ac:dyDescent="0.15">
      <c r="A107" s="390"/>
      <c r="B107" s="42" t="s">
        <v>150</v>
      </c>
      <c r="C107" s="70" t="s">
        <v>151</v>
      </c>
      <c r="D107" s="133">
        <v>6.75</v>
      </c>
      <c r="E107" s="133">
        <v>6.75</v>
      </c>
      <c r="F107" s="131">
        <f t="shared" si="0"/>
        <v>7.02</v>
      </c>
      <c r="G107" s="251">
        <f t="shared" si="2"/>
        <v>0</v>
      </c>
      <c r="H107" s="258"/>
    </row>
    <row r="108" spans="1:8" ht="12.75" customHeight="1" x14ac:dyDescent="0.15">
      <c r="A108" s="391"/>
      <c r="B108" s="42" t="s">
        <v>152</v>
      </c>
      <c r="C108" s="70" t="s">
        <v>149</v>
      </c>
      <c r="D108" s="133">
        <v>6.75</v>
      </c>
      <c r="E108" s="133">
        <v>6.75</v>
      </c>
      <c r="F108" s="131">
        <f t="shared" si="0"/>
        <v>7.02</v>
      </c>
      <c r="G108" s="251">
        <f t="shared" si="2"/>
        <v>0</v>
      </c>
      <c r="H108" s="258"/>
    </row>
    <row r="109" spans="1:8" ht="12.75" customHeight="1" x14ac:dyDescent="0.15">
      <c r="A109" s="424" t="s">
        <v>156</v>
      </c>
      <c r="B109" s="52" t="s">
        <v>157</v>
      </c>
      <c r="C109" s="25" t="s">
        <v>158</v>
      </c>
      <c r="D109" s="132">
        <v>10.29</v>
      </c>
      <c r="E109" s="131">
        <v>11.29</v>
      </c>
      <c r="F109" s="131">
        <f t="shared" si="0"/>
        <v>11.741599999999998</v>
      </c>
      <c r="G109" s="251">
        <f t="shared" si="2"/>
        <v>9.7181729834791009E-2</v>
      </c>
    </row>
    <row r="110" spans="1:8" ht="12.75" customHeight="1" x14ac:dyDescent="0.15">
      <c r="A110" s="390"/>
      <c r="B110" s="16" t="s">
        <v>159</v>
      </c>
      <c r="C110" s="21" t="s">
        <v>158</v>
      </c>
      <c r="D110" s="13">
        <v>9.2899999999999991</v>
      </c>
      <c r="E110" s="133">
        <v>9.99</v>
      </c>
      <c r="F110" s="131">
        <f t="shared" si="0"/>
        <v>10.3896</v>
      </c>
      <c r="G110" s="251">
        <f t="shared" si="2"/>
        <v>7.5349838536060476E-2</v>
      </c>
    </row>
    <row r="111" spans="1:8" ht="12.75" customHeight="1" x14ac:dyDescent="0.15">
      <c r="A111" s="390"/>
      <c r="B111" s="16" t="s">
        <v>160</v>
      </c>
      <c r="C111" s="21" t="s">
        <v>161</v>
      </c>
      <c r="D111" s="13">
        <v>10.89</v>
      </c>
      <c r="E111" s="133">
        <v>11.99</v>
      </c>
      <c r="F111" s="131">
        <f t="shared" si="0"/>
        <v>12.4696</v>
      </c>
      <c r="G111" s="251">
        <f t="shared" si="2"/>
        <v>0.10101010101010099</v>
      </c>
    </row>
    <row r="112" spans="1:8" ht="12.75" customHeight="1" x14ac:dyDescent="0.15">
      <c r="A112" s="390"/>
      <c r="B112" s="16" t="s">
        <v>162</v>
      </c>
      <c r="C112" s="21" t="s">
        <v>163</v>
      </c>
      <c r="D112" s="13">
        <v>8.49</v>
      </c>
      <c r="E112" s="133">
        <v>9.2899999999999991</v>
      </c>
      <c r="F112" s="131">
        <f t="shared" si="0"/>
        <v>9.6616</v>
      </c>
      <c r="G112" s="251">
        <f t="shared" si="2"/>
        <v>9.4228504122496837E-2</v>
      </c>
    </row>
    <row r="113" spans="1:7" ht="12.75" customHeight="1" x14ac:dyDescent="0.15">
      <c r="A113" s="390"/>
      <c r="B113" s="401" t="s">
        <v>164</v>
      </c>
      <c r="C113" s="21" t="s">
        <v>165</v>
      </c>
      <c r="D113" s="13">
        <v>11.49</v>
      </c>
      <c r="E113" s="133">
        <v>12.69</v>
      </c>
      <c r="F113" s="131">
        <f t="shared" si="0"/>
        <v>13.1976</v>
      </c>
      <c r="G113" s="251">
        <f t="shared" si="2"/>
        <v>0.10443864229764999</v>
      </c>
    </row>
    <row r="114" spans="1:7" ht="12.75" customHeight="1" x14ac:dyDescent="0.15">
      <c r="A114" s="390"/>
      <c r="B114" s="368"/>
      <c r="C114" s="21" t="s">
        <v>166</v>
      </c>
      <c r="D114" s="13">
        <v>11.99</v>
      </c>
      <c r="E114" s="133">
        <v>13.29</v>
      </c>
      <c r="F114" s="131">
        <f t="shared" si="0"/>
        <v>13.821599999999998</v>
      </c>
      <c r="G114" s="251">
        <f t="shared" si="2"/>
        <v>0.10842368640533762</v>
      </c>
    </row>
    <row r="115" spans="1:7" ht="12.75" customHeight="1" x14ac:dyDescent="0.15">
      <c r="A115" s="390"/>
      <c r="B115" s="366"/>
      <c r="C115" s="21" t="s">
        <v>167</v>
      </c>
      <c r="D115" s="13">
        <v>11.99</v>
      </c>
      <c r="E115" s="133">
        <v>13.29</v>
      </c>
      <c r="F115" s="131">
        <f t="shared" si="0"/>
        <v>13.821599999999998</v>
      </c>
      <c r="G115" s="251">
        <f t="shared" si="2"/>
        <v>0.10842368640533762</v>
      </c>
    </row>
    <row r="116" spans="1:7" ht="12.75" customHeight="1" x14ac:dyDescent="0.15">
      <c r="A116" s="390"/>
      <c r="B116" s="53" t="s">
        <v>168</v>
      </c>
      <c r="C116" s="12" t="s">
        <v>169</v>
      </c>
      <c r="D116" s="13">
        <v>8.99</v>
      </c>
      <c r="E116" s="133">
        <v>9.7899999999999991</v>
      </c>
      <c r="F116" s="131">
        <f t="shared" si="0"/>
        <v>10.1816</v>
      </c>
      <c r="G116" s="251">
        <f t="shared" si="2"/>
        <v>8.8987764182424822E-2</v>
      </c>
    </row>
    <row r="117" spans="1:7" ht="12.75" customHeight="1" x14ac:dyDescent="0.15">
      <c r="A117" s="390"/>
      <c r="B117" s="53" t="s">
        <v>170</v>
      </c>
      <c r="C117" s="12" t="s">
        <v>171</v>
      </c>
      <c r="D117" s="13">
        <v>11.49</v>
      </c>
      <c r="E117" s="133">
        <v>12.59</v>
      </c>
      <c r="F117" s="131">
        <f t="shared" si="0"/>
        <v>13.0936</v>
      </c>
      <c r="G117" s="251">
        <f t="shared" si="2"/>
        <v>9.5735422106179247E-2</v>
      </c>
    </row>
    <row r="118" spans="1:7" ht="12.75" customHeight="1" x14ac:dyDescent="0.15">
      <c r="A118" s="390"/>
      <c r="B118" s="53" t="s">
        <v>172</v>
      </c>
      <c r="C118" s="12" t="s">
        <v>173</v>
      </c>
      <c r="D118" s="13">
        <v>9.99</v>
      </c>
      <c r="E118" s="133">
        <v>10.99</v>
      </c>
      <c r="F118" s="131">
        <f t="shared" si="0"/>
        <v>11.429600000000001</v>
      </c>
      <c r="G118" s="251">
        <f t="shared" si="2"/>
        <v>0.10010010010010006</v>
      </c>
    </row>
    <row r="119" spans="1:7" ht="12.75" customHeight="1" x14ac:dyDescent="0.15">
      <c r="A119" s="390"/>
      <c r="B119" s="16" t="s">
        <v>174</v>
      </c>
      <c r="C119" s="12" t="s">
        <v>175</v>
      </c>
      <c r="D119" s="13">
        <v>9.99</v>
      </c>
      <c r="E119" s="133">
        <v>10.99</v>
      </c>
      <c r="F119" s="131">
        <f t="shared" si="0"/>
        <v>11.429600000000001</v>
      </c>
      <c r="G119" s="251">
        <f t="shared" si="2"/>
        <v>0.10010010010010006</v>
      </c>
    </row>
    <row r="120" spans="1:7" ht="12.75" customHeight="1" x14ac:dyDescent="0.15">
      <c r="A120" s="390"/>
      <c r="B120" s="53" t="s">
        <v>178</v>
      </c>
      <c r="C120" s="21" t="s">
        <v>179</v>
      </c>
      <c r="D120" s="13">
        <v>10.49</v>
      </c>
      <c r="E120" s="133">
        <v>11.49</v>
      </c>
      <c r="F120" s="131">
        <f t="shared" si="0"/>
        <v>11.9496</v>
      </c>
      <c r="G120" s="251">
        <f t="shared" si="2"/>
        <v>9.5328884652049473E-2</v>
      </c>
    </row>
    <row r="121" spans="1:7" ht="12.75" customHeight="1" x14ac:dyDescent="0.15">
      <c r="A121" s="390"/>
      <c r="B121" s="53" t="s">
        <v>180</v>
      </c>
      <c r="C121" s="21" t="s">
        <v>727</v>
      </c>
      <c r="D121" s="13">
        <v>9.99</v>
      </c>
      <c r="E121" s="133">
        <v>10.99</v>
      </c>
      <c r="F121" s="131">
        <f t="shared" si="0"/>
        <v>11.429600000000001</v>
      </c>
      <c r="G121" s="251">
        <f t="shared" si="2"/>
        <v>0.10010010010010006</v>
      </c>
    </row>
    <row r="122" spans="1:7" ht="12.75" customHeight="1" x14ac:dyDescent="0.15">
      <c r="A122" s="390"/>
      <c r="B122" s="53" t="s">
        <v>182</v>
      </c>
      <c r="C122" s="21" t="s">
        <v>183</v>
      </c>
      <c r="D122" s="13">
        <v>6.99</v>
      </c>
      <c r="E122" s="133">
        <v>7.49</v>
      </c>
      <c r="F122" s="131">
        <f t="shared" si="0"/>
        <v>7.7896000000000001</v>
      </c>
      <c r="G122" s="251">
        <f t="shared" si="2"/>
        <v>7.1530758226037161E-2</v>
      </c>
    </row>
    <row r="123" spans="1:7" ht="12.75" customHeight="1" x14ac:dyDescent="0.15">
      <c r="A123" s="390"/>
      <c r="B123" s="16" t="s">
        <v>184</v>
      </c>
      <c r="C123" s="21" t="s">
        <v>728</v>
      </c>
      <c r="D123" s="13">
        <v>5.99</v>
      </c>
      <c r="E123" s="133">
        <v>6.49</v>
      </c>
      <c r="F123" s="131">
        <f t="shared" si="0"/>
        <v>6.7496</v>
      </c>
      <c r="G123" s="251">
        <f t="shared" si="2"/>
        <v>8.3472454090150139E-2</v>
      </c>
    </row>
    <row r="124" spans="1:7" ht="12.75" customHeight="1" x14ac:dyDescent="0.15">
      <c r="A124" s="390"/>
      <c r="B124" s="53" t="s">
        <v>186</v>
      </c>
      <c r="C124" s="12" t="s">
        <v>187</v>
      </c>
      <c r="D124" s="13">
        <v>5.99</v>
      </c>
      <c r="E124" s="133">
        <v>6.49</v>
      </c>
      <c r="F124" s="131">
        <f t="shared" si="0"/>
        <v>6.7496</v>
      </c>
      <c r="G124" s="251">
        <f t="shared" si="2"/>
        <v>8.3472454090150139E-2</v>
      </c>
    </row>
    <row r="125" spans="1:7" ht="12.75" customHeight="1" x14ac:dyDescent="0.15">
      <c r="A125" s="390"/>
      <c r="B125" s="53" t="s">
        <v>188</v>
      </c>
      <c r="C125" s="12" t="s">
        <v>729</v>
      </c>
      <c r="D125" s="13">
        <v>11.49</v>
      </c>
      <c r="E125" s="133">
        <v>12.49</v>
      </c>
      <c r="F125" s="131">
        <f t="shared" si="0"/>
        <v>12.989599999999999</v>
      </c>
      <c r="G125" s="251">
        <f t="shared" si="2"/>
        <v>8.7032201914708507E-2</v>
      </c>
    </row>
    <row r="126" spans="1:7" ht="12.75" customHeight="1" x14ac:dyDescent="0.15">
      <c r="A126" s="390"/>
      <c r="B126" s="54" t="s">
        <v>190</v>
      </c>
      <c r="C126" s="55" t="s">
        <v>191</v>
      </c>
      <c r="D126" s="35">
        <v>9.99</v>
      </c>
      <c r="E126" s="294"/>
      <c r="F126" s="131">
        <f t="shared" si="0"/>
        <v>0</v>
      </c>
      <c r="G126" s="266"/>
    </row>
    <row r="127" spans="1:7" ht="12.75" customHeight="1" x14ac:dyDescent="0.15">
      <c r="A127" s="390"/>
      <c r="B127" s="53" t="s">
        <v>192</v>
      </c>
      <c r="C127" s="12" t="s">
        <v>193</v>
      </c>
      <c r="D127" s="13">
        <v>9.99</v>
      </c>
      <c r="E127" s="133">
        <v>10.99</v>
      </c>
      <c r="F127" s="131">
        <f t="shared" si="0"/>
        <v>11.429600000000001</v>
      </c>
      <c r="G127" s="251">
        <f t="shared" ref="G127:G141" si="3">+(E127/D127)-1</f>
        <v>0.10010010010010006</v>
      </c>
    </row>
    <row r="128" spans="1:7" ht="12.75" customHeight="1" x14ac:dyDescent="0.15">
      <c r="A128" s="390"/>
      <c r="B128" s="53" t="s">
        <v>194</v>
      </c>
      <c r="C128" s="12" t="s">
        <v>158</v>
      </c>
      <c r="D128" s="13">
        <v>7.49</v>
      </c>
      <c r="E128" s="133">
        <v>7.99</v>
      </c>
      <c r="F128" s="131">
        <f t="shared" si="0"/>
        <v>8.3095999999999997</v>
      </c>
      <c r="G128" s="251">
        <f t="shared" si="3"/>
        <v>6.6755674232309659E-2</v>
      </c>
    </row>
    <row r="129" spans="1:7" ht="12.75" customHeight="1" x14ac:dyDescent="0.15">
      <c r="A129" s="390"/>
      <c r="B129" s="56" t="s">
        <v>195</v>
      </c>
      <c r="C129" s="20" t="s">
        <v>196</v>
      </c>
      <c r="D129" s="86">
        <v>4.99</v>
      </c>
      <c r="E129" s="135">
        <v>5.49</v>
      </c>
      <c r="F129" s="131">
        <f t="shared" si="0"/>
        <v>5.7096</v>
      </c>
      <c r="G129" s="251">
        <f t="shared" si="3"/>
        <v>0.10020040080160331</v>
      </c>
    </row>
    <row r="130" spans="1:7" ht="12.75" customHeight="1" x14ac:dyDescent="0.15">
      <c r="A130" s="390"/>
      <c r="B130" s="295" t="s">
        <v>197</v>
      </c>
      <c r="C130" s="296"/>
      <c r="D130" s="149">
        <v>9.59</v>
      </c>
      <c r="E130" s="297">
        <v>10.49</v>
      </c>
      <c r="F130" s="298">
        <f t="shared" si="0"/>
        <v>10.909600000000001</v>
      </c>
      <c r="G130" s="299">
        <f t="shared" si="3"/>
        <v>9.3847758081334831E-2</v>
      </c>
    </row>
    <row r="131" spans="1:7" ht="12.75" customHeight="1" x14ac:dyDescent="0.15">
      <c r="A131" s="390"/>
      <c r="B131" s="57" t="s">
        <v>198</v>
      </c>
      <c r="C131" s="300"/>
      <c r="D131" s="13">
        <v>10.89</v>
      </c>
      <c r="E131" s="260">
        <v>11.99</v>
      </c>
      <c r="F131" s="131">
        <f t="shared" si="0"/>
        <v>12.4696</v>
      </c>
      <c r="G131" s="251">
        <f t="shared" si="3"/>
        <v>0.10101010101010099</v>
      </c>
    </row>
    <row r="132" spans="1:7" ht="12.75" customHeight="1" x14ac:dyDescent="0.15">
      <c r="A132" s="390"/>
      <c r="B132" s="58" t="s">
        <v>199</v>
      </c>
      <c r="C132" s="301"/>
      <c r="D132" s="92">
        <v>14.99</v>
      </c>
      <c r="E132" s="93">
        <v>16.989999999999998</v>
      </c>
      <c r="F132" s="131">
        <f t="shared" si="0"/>
        <v>17.669599999999999</v>
      </c>
      <c r="G132" s="251">
        <f t="shared" si="3"/>
        <v>0.13342228152101399</v>
      </c>
    </row>
    <row r="133" spans="1:7" ht="12.75" customHeight="1" x14ac:dyDescent="0.15">
      <c r="A133" s="400" t="s">
        <v>200</v>
      </c>
      <c r="B133" s="41" t="s">
        <v>201</v>
      </c>
      <c r="C133" s="61" t="s">
        <v>202</v>
      </c>
      <c r="D133" s="141">
        <v>14.99</v>
      </c>
      <c r="E133" s="131">
        <v>15.99</v>
      </c>
      <c r="F133" s="131">
        <f t="shared" si="0"/>
        <v>16.6296</v>
      </c>
      <c r="G133" s="251">
        <f t="shared" si="3"/>
        <v>6.6711140760506993E-2</v>
      </c>
    </row>
    <row r="134" spans="1:7" ht="12.75" customHeight="1" x14ac:dyDescent="0.15">
      <c r="A134" s="390"/>
      <c r="B134" s="16" t="s">
        <v>203</v>
      </c>
      <c r="C134" s="46" t="s">
        <v>204</v>
      </c>
      <c r="D134" s="70">
        <v>12.49</v>
      </c>
      <c r="E134" s="133">
        <v>13.49</v>
      </c>
      <c r="F134" s="131">
        <f t="shared" si="0"/>
        <v>14.0296</v>
      </c>
      <c r="G134" s="251">
        <f t="shared" si="3"/>
        <v>8.0064051240992695E-2</v>
      </c>
    </row>
    <row r="135" spans="1:7" ht="12.75" customHeight="1" x14ac:dyDescent="0.15">
      <c r="A135" s="390"/>
      <c r="B135" s="43" t="s">
        <v>205</v>
      </c>
      <c r="C135" s="46" t="s">
        <v>206</v>
      </c>
      <c r="D135" s="70">
        <v>13.49</v>
      </c>
      <c r="E135" s="133">
        <v>14.49</v>
      </c>
      <c r="F135" s="131">
        <f t="shared" si="0"/>
        <v>15.069599999999999</v>
      </c>
      <c r="G135" s="251">
        <f t="shared" si="3"/>
        <v>7.4128984432913159E-2</v>
      </c>
    </row>
    <row r="136" spans="1:7" ht="12.75" customHeight="1" x14ac:dyDescent="0.15">
      <c r="A136" s="390"/>
      <c r="B136" s="43" t="s">
        <v>207</v>
      </c>
      <c r="C136" s="42" t="s">
        <v>208</v>
      </c>
      <c r="D136" s="70">
        <v>13.49</v>
      </c>
      <c r="E136" s="133">
        <v>14.49</v>
      </c>
      <c r="F136" s="131">
        <f t="shared" si="0"/>
        <v>15.069599999999999</v>
      </c>
      <c r="G136" s="251">
        <f t="shared" si="3"/>
        <v>7.4128984432913159E-2</v>
      </c>
    </row>
    <row r="137" spans="1:7" ht="12.75" customHeight="1" x14ac:dyDescent="0.15">
      <c r="A137" s="390"/>
      <c r="B137" s="43" t="s">
        <v>209</v>
      </c>
      <c r="C137" s="42" t="s">
        <v>730</v>
      </c>
      <c r="D137" s="70">
        <v>12.49</v>
      </c>
      <c r="E137" s="133">
        <v>13.49</v>
      </c>
      <c r="F137" s="131">
        <f t="shared" si="0"/>
        <v>14.0296</v>
      </c>
      <c r="G137" s="251">
        <f t="shared" si="3"/>
        <v>8.0064051240992695E-2</v>
      </c>
    </row>
    <row r="138" spans="1:7" ht="12.75" customHeight="1" x14ac:dyDescent="0.15">
      <c r="A138" s="390"/>
      <c r="B138" s="43" t="s">
        <v>211</v>
      </c>
      <c r="C138" s="46" t="s">
        <v>731</v>
      </c>
      <c r="D138" s="70">
        <v>12.49</v>
      </c>
      <c r="E138" s="133">
        <v>13.49</v>
      </c>
      <c r="F138" s="131">
        <f t="shared" si="0"/>
        <v>14.0296</v>
      </c>
      <c r="G138" s="251">
        <f t="shared" si="3"/>
        <v>8.0064051240992695E-2</v>
      </c>
    </row>
    <row r="139" spans="1:7" ht="12.75" customHeight="1" x14ac:dyDescent="0.15">
      <c r="A139" s="390"/>
      <c r="B139" s="43" t="s">
        <v>213</v>
      </c>
      <c r="C139" s="42" t="s">
        <v>214</v>
      </c>
      <c r="D139" s="70">
        <v>12.49</v>
      </c>
      <c r="E139" s="133">
        <v>13.49</v>
      </c>
      <c r="F139" s="131">
        <f t="shared" si="0"/>
        <v>14.0296</v>
      </c>
      <c r="G139" s="251">
        <f t="shared" si="3"/>
        <v>8.0064051240992695E-2</v>
      </c>
    </row>
    <row r="140" spans="1:7" ht="12.75" customHeight="1" x14ac:dyDescent="0.15">
      <c r="A140" s="390"/>
      <c r="B140" s="43" t="s">
        <v>215</v>
      </c>
      <c r="C140" s="42" t="s">
        <v>732</v>
      </c>
      <c r="D140" s="70">
        <v>12.49</v>
      </c>
      <c r="E140" s="133">
        <v>13.49</v>
      </c>
      <c r="F140" s="131">
        <f t="shared" si="0"/>
        <v>14.0296</v>
      </c>
      <c r="G140" s="251">
        <f t="shared" si="3"/>
        <v>8.0064051240992695E-2</v>
      </c>
    </row>
    <row r="141" spans="1:7" ht="12.75" customHeight="1" x14ac:dyDescent="0.15">
      <c r="A141" s="390"/>
      <c r="B141" s="43" t="s">
        <v>217</v>
      </c>
      <c r="C141" s="46" t="s">
        <v>733</v>
      </c>
      <c r="D141" s="70">
        <v>12.49</v>
      </c>
      <c r="E141" s="133">
        <v>13.49</v>
      </c>
      <c r="F141" s="131">
        <f t="shared" si="0"/>
        <v>14.0296</v>
      </c>
      <c r="G141" s="251">
        <f t="shared" si="3"/>
        <v>8.0064051240992695E-2</v>
      </c>
    </row>
    <row r="142" spans="1:7" ht="12.75" customHeight="1" x14ac:dyDescent="0.15">
      <c r="A142" s="390"/>
      <c r="B142" s="261" t="s">
        <v>219</v>
      </c>
      <c r="C142" s="262" t="s">
        <v>734</v>
      </c>
      <c r="D142" s="151">
        <v>12.49</v>
      </c>
      <c r="E142" s="148"/>
      <c r="F142" s="131">
        <f t="shared" si="0"/>
        <v>0</v>
      </c>
      <c r="G142" s="251"/>
    </row>
    <row r="143" spans="1:7" ht="12.75" customHeight="1" x14ac:dyDescent="0.15">
      <c r="A143" s="390"/>
      <c r="B143" s="49" t="s">
        <v>223</v>
      </c>
      <c r="C143" s="60" t="s">
        <v>735</v>
      </c>
      <c r="D143" s="32">
        <v>10.29</v>
      </c>
      <c r="E143" s="135">
        <v>11.29</v>
      </c>
      <c r="F143" s="131">
        <f t="shared" si="0"/>
        <v>11.741599999999998</v>
      </c>
      <c r="G143" s="251">
        <f t="shared" ref="G143:G183" si="4">+(E143/D143)-1</f>
        <v>9.7181729834791009E-2</v>
      </c>
    </row>
    <row r="144" spans="1:7" ht="12.75" customHeight="1" x14ac:dyDescent="0.15">
      <c r="A144" s="393" t="s">
        <v>253</v>
      </c>
      <c r="B144" s="399" t="s">
        <v>254</v>
      </c>
      <c r="C144" s="61" t="s">
        <v>255</v>
      </c>
      <c r="D144" s="141">
        <v>3.69</v>
      </c>
      <c r="E144" s="131">
        <v>3.99</v>
      </c>
      <c r="F144" s="131">
        <f t="shared" si="0"/>
        <v>4.1496000000000004</v>
      </c>
      <c r="G144" s="251">
        <f t="shared" si="4"/>
        <v>8.1300813008130079E-2</v>
      </c>
    </row>
    <row r="145" spans="1:7" ht="12.75" customHeight="1" x14ac:dyDescent="0.15">
      <c r="A145" s="390"/>
      <c r="B145" s="368"/>
      <c r="C145" s="42" t="s">
        <v>256</v>
      </c>
      <c r="D145" s="70">
        <v>3.69</v>
      </c>
      <c r="E145" s="133">
        <v>3.99</v>
      </c>
      <c r="F145" s="131">
        <f t="shared" si="0"/>
        <v>4.1496000000000004</v>
      </c>
      <c r="G145" s="251">
        <f t="shared" si="4"/>
        <v>8.1300813008130079E-2</v>
      </c>
    </row>
    <row r="146" spans="1:7" ht="12.75" customHeight="1" x14ac:dyDescent="0.15">
      <c r="A146" s="390"/>
      <c r="B146" s="368"/>
      <c r="C146" s="42" t="s">
        <v>257</v>
      </c>
      <c r="D146" s="70">
        <v>3.69</v>
      </c>
      <c r="E146" s="133">
        <v>3.99</v>
      </c>
      <c r="F146" s="131">
        <f t="shared" si="0"/>
        <v>4.1496000000000004</v>
      </c>
      <c r="G146" s="251">
        <f t="shared" si="4"/>
        <v>8.1300813008130079E-2</v>
      </c>
    </row>
    <row r="147" spans="1:7" ht="12.75" customHeight="1" x14ac:dyDescent="0.15">
      <c r="A147" s="390"/>
      <c r="B147" s="368"/>
      <c r="C147" s="42" t="s">
        <v>11</v>
      </c>
      <c r="D147" s="70">
        <v>3.69</v>
      </c>
      <c r="E147" s="133">
        <v>3.99</v>
      </c>
      <c r="F147" s="131">
        <f t="shared" si="0"/>
        <v>4.1496000000000004</v>
      </c>
      <c r="G147" s="251">
        <f t="shared" si="4"/>
        <v>8.1300813008130079E-2</v>
      </c>
    </row>
    <row r="148" spans="1:7" ht="12.75" customHeight="1" x14ac:dyDescent="0.15">
      <c r="A148" s="390"/>
      <c r="B148" s="368"/>
      <c r="C148" s="42" t="s">
        <v>258</v>
      </c>
      <c r="D148" s="70">
        <v>3.69</v>
      </c>
      <c r="E148" s="133">
        <v>3.99</v>
      </c>
      <c r="F148" s="131">
        <f t="shared" si="0"/>
        <v>4.1496000000000004</v>
      </c>
      <c r="G148" s="251">
        <f t="shared" si="4"/>
        <v>8.1300813008130079E-2</v>
      </c>
    </row>
    <row r="149" spans="1:7" ht="12.75" customHeight="1" x14ac:dyDescent="0.15">
      <c r="A149" s="390"/>
      <c r="B149" s="368"/>
      <c r="C149" s="42" t="s">
        <v>259</v>
      </c>
      <c r="D149" s="70">
        <v>3.69</v>
      </c>
      <c r="E149" s="133">
        <v>3.99</v>
      </c>
      <c r="F149" s="131">
        <f t="shared" si="0"/>
        <v>4.1496000000000004</v>
      </c>
      <c r="G149" s="251">
        <f t="shared" si="4"/>
        <v>8.1300813008130079E-2</v>
      </c>
    </row>
    <row r="150" spans="1:7" ht="12.75" customHeight="1" x14ac:dyDescent="0.15">
      <c r="A150" s="390"/>
      <c r="B150" s="368"/>
      <c r="C150" s="42" t="s">
        <v>736</v>
      </c>
      <c r="D150" s="70">
        <v>3.69</v>
      </c>
      <c r="E150" s="133">
        <v>3.99</v>
      </c>
      <c r="F150" s="131">
        <f t="shared" si="0"/>
        <v>4.1496000000000004</v>
      </c>
      <c r="G150" s="251">
        <f t="shared" si="4"/>
        <v>8.1300813008130079E-2</v>
      </c>
    </row>
    <row r="151" spans="1:7" ht="12.75" customHeight="1" x14ac:dyDescent="0.15">
      <c r="A151" s="390"/>
      <c r="B151" s="368"/>
      <c r="C151" s="42" t="s">
        <v>261</v>
      </c>
      <c r="D151" s="70">
        <v>3.69</v>
      </c>
      <c r="E151" s="133">
        <v>3.99</v>
      </c>
      <c r="F151" s="131">
        <f t="shared" si="0"/>
        <v>4.1496000000000004</v>
      </c>
      <c r="G151" s="251">
        <f t="shared" si="4"/>
        <v>8.1300813008130079E-2</v>
      </c>
    </row>
    <row r="152" spans="1:7" ht="12.75" customHeight="1" x14ac:dyDescent="0.15">
      <c r="A152" s="390"/>
      <c r="B152" s="368"/>
      <c r="C152" s="42" t="s">
        <v>262</v>
      </c>
      <c r="D152" s="70">
        <v>3.69</v>
      </c>
      <c r="E152" s="133">
        <v>3.99</v>
      </c>
      <c r="F152" s="131">
        <f t="shared" si="0"/>
        <v>4.1496000000000004</v>
      </c>
      <c r="G152" s="251">
        <f t="shared" si="4"/>
        <v>8.1300813008130079E-2</v>
      </c>
    </row>
    <row r="153" spans="1:7" ht="12.75" customHeight="1" x14ac:dyDescent="0.15">
      <c r="A153" s="390"/>
      <c r="B153" s="368"/>
      <c r="C153" s="42" t="s">
        <v>263</v>
      </c>
      <c r="D153" s="70">
        <v>3.69</v>
      </c>
      <c r="E153" s="133">
        <v>3.99</v>
      </c>
      <c r="F153" s="131">
        <f t="shared" si="0"/>
        <v>4.1496000000000004</v>
      </c>
      <c r="G153" s="251">
        <f t="shared" si="4"/>
        <v>8.1300813008130079E-2</v>
      </c>
    </row>
    <row r="154" spans="1:7" ht="12.75" customHeight="1" x14ac:dyDescent="0.15">
      <c r="A154" s="390"/>
      <c r="B154" s="366"/>
      <c r="C154" s="42" t="s">
        <v>267</v>
      </c>
      <c r="D154" s="70">
        <v>3.69</v>
      </c>
      <c r="E154" s="133">
        <v>3.99</v>
      </c>
      <c r="F154" s="131">
        <f t="shared" si="0"/>
        <v>4.1496000000000004</v>
      </c>
      <c r="G154" s="251">
        <f t="shared" si="4"/>
        <v>8.1300813008130079E-2</v>
      </c>
    </row>
    <row r="155" spans="1:7" ht="12.75" customHeight="1" x14ac:dyDescent="0.15">
      <c r="A155" s="390"/>
      <c r="B155" s="365" t="s">
        <v>269</v>
      </c>
      <c r="C155" s="42" t="s">
        <v>270</v>
      </c>
      <c r="D155" s="70">
        <v>4.49</v>
      </c>
      <c r="E155" s="133">
        <v>4.8899999999999997</v>
      </c>
      <c r="F155" s="131">
        <f t="shared" si="0"/>
        <v>5.0855999999999995</v>
      </c>
      <c r="G155" s="251">
        <f t="shared" si="4"/>
        <v>8.9086859688195963E-2</v>
      </c>
    </row>
    <row r="156" spans="1:7" ht="12.75" customHeight="1" x14ac:dyDescent="0.15">
      <c r="A156" s="390"/>
      <c r="B156" s="368"/>
      <c r="C156" s="42" t="s">
        <v>271</v>
      </c>
      <c r="D156" s="70">
        <v>4.49</v>
      </c>
      <c r="E156" s="133">
        <v>4.8899999999999997</v>
      </c>
      <c r="F156" s="131">
        <f t="shared" si="0"/>
        <v>5.0855999999999995</v>
      </c>
      <c r="G156" s="251">
        <f t="shared" si="4"/>
        <v>8.9086859688195963E-2</v>
      </c>
    </row>
    <row r="157" spans="1:7" ht="12.75" customHeight="1" x14ac:dyDescent="0.15">
      <c r="A157" s="390"/>
      <c r="B157" s="368"/>
      <c r="C157" s="42" t="s">
        <v>272</v>
      </c>
      <c r="D157" s="70">
        <v>4.49</v>
      </c>
      <c r="E157" s="133">
        <v>4.8899999999999997</v>
      </c>
      <c r="F157" s="131">
        <f t="shared" si="0"/>
        <v>5.0855999999999995</v>
      </c>
      <c r="G157" s="251">
        <f t="shared" si="4"/>
        <v>8.9086859688195963E-2</v>
      </c>
    </row>
    <row r="158" spans="1:7" ht="12.75" customHeight="1" x14ac:dyDescent="0.15">
      <c r="A158" s="390"/>
      <c r="B158" s="366"/>
      <c r="C158" s="42" t="s">
        <v>273</v>
      </c>
      <c r="D158" s="70">
        <v>4.49</v>
      </c>
      <c r="E158" s="133">
        <v>4.8899999999999997</v>
      </c>
      <c r="F158" s="131">
        <f t="shared" si="0"/>
        <v>5.0855999999999995</v>
      </c>
      <c r="G158" s="251">
        <f t="shared" si="4"/>
        <v>8.9086859688195963E-2</v>
      </c>
    </row>
    <row r="159" spans="1:7" ht="12.75" customHeight="1" x14ac:dyDescent="0.15">
      <c r="A159" s="390"/>
      <c r="B159" s="365" t="s">
        <v>275</v>
      </c>
      <c r="C159" s="42" t="s">
        <v>276</v>
      </c>
      <c r="D159" s="70">
        <v>4.49</v>
      </c>
      <c r="E159" s="133">
        <v>4.8899999999999997</v>
      </c>
      <c r="F159" s="131">
        <f t="shared" si="0"/>
        <v>5.0855999999999995</v>
      </c>
      <c r="G159" s="251">
        <f t="shared" si="4"/>
        <v>8.9086859688195963E-2</v>
      </c>
    </row>
    <row r="160" spans="1:7" ht="12.75" customHeight="1" x14ac:dyDescent="0.15">
      <c r="A160" s="390"/>
      <c r="B160" s="368"/>
      <c r="C160" s="46" t="s">
        <v>277</v>
      </c>
      <c r="D160" s="70">
        <v>4.49</v>
      </c>
      <c r="E160" s="133">
        <v>4.8899999999999997</v>
      </c>
      <c r="F160" s="131">
        <f t="shared" si="0"/>
        <v>5.0855999999999995</v>
      </c>
      <c r="G160" s="251">
        <f t="shared" si="4"/>
        <v>8.9086859688195963E-2</v>
      </c>
    </row>
    <row r="161" spans="1:7" ht="12.75" customHeight="1" x14ac:dyDescent="0.15">
      <c r="A161" s="390"/>
      <c r="B161" s="366"/>
      <c r="C161" s="42" t="s">
        <v>278</v>
      </c>
      <c r="D161" s="70">
        <v>4.49</v>
      </c>
      <c r="E161" s="133">
        <v>4.8899999999999997</v>
      </c>
      <c r="F161" s="131">
        <f t="shared" si="0"/>
        <v>5.0855999999999995</v>
      </c>
      <c r="G161" s="251">
        <f t="shared" si="4"/>
        <v>8.9086859688195963E-2</v>
      </c>
    </row>
    <row r="162" spans="1:7" ht="12.75" customHeight="1" x14ac:dyDescent="0.15">
      <c r="A162" s="390"/>
      <c r="B162" s="365" t="s">
        <v>280</v>
      </c>
      <c r="C162" s="42" t="s">
        <v>281</v>
      </c>
      <c r="D162" s="70">
        <v>3.69</v>
      </c>
      <c r="E162" s="133">
        <v>3.99</v>
      </c>
      <c r="F162" s="131">
        <f t="shared" si="0"/>
        <v>4.1496000000000004</v>
      </c>
      <c r="G162" s="251">
        <f t="shared" si="4"/>
        <v>8.1300813008130079E-2</v>
      </c>
    </row>
    <row r="163" spans="1:7" ht="12.75" customHeight="1" x14ac:dyDescent="0.15">
      <c r="A163" s="390"/>
      <c r="B163" s="368"/>
      <c r="C163" s="42" t="s">
        <v>282</v>
      </c>
      <c r="D163" s="70">
        <v>3.69</v>
      </c>
      <c r="E163" s="133">
        <v>3.99</v>
      </c>
      <c r="F163" s="131">
        <f t="shared" si="0"/>
        <v>4.1496000000000004</v>
      </c>
      <c r="G163" s="251">
        <f t="shared" si="4"/>
        <v>8.1300813008130079E-2</v>
      </c>
    </row>
    <row r="164" spans="1:7" ht="12.75" customHeight="1" x14ac:dyDescent="0.15">
      <c r="A164" s="390"/>
      <c r="B164" s="368"/>
      <c r="C164" s="42" t="s">
        <v>262</v>
      </c>
      <c r="D164" s="70">
        <v>3.69</v>
      </c>
      <c r="E164" s="133">
        <v>3.99</v>
      </c>
      <c r="F164" s="131">
        <f t="shared" si="0"/>
        <v>4.1496000000000004</v>
      </c>
      <c r="G164" s="251">
        <f t="shared" si="4"/>
        <v>8.1300813008130079E-2</v>
      </c>
    </row>
    <row r="165" spans="1:7" ht="12.75" customHeight="1" x14ac:dyDescent="0.15">
      <c r="A165" s="390"/>
      <c r="B165" s="368"/>
      <c r="C165" s="42" t="s">
        <v>283</v>
      </c>
      <c r="D165" s="70">
        <v>3.69</v>
      </c>
      <c r="E165" s="133">
        <v>3.99</v>
      </c>
      <c r="F165" s="131">
        <f t="shared" si="0"/>
        <v>4.1496000000000004</v>
      </c>
      <c r="G165" s="251">
        <f t="shared" si="4"/>
        <v>8.1300813008130079E-2</v>
      </c>
    </row>
    <row r="166" spans="1:7" ht="12.75" customHeight="1" x14ac:dyDescent="0.15">
      <c r="A166" s="390"/>
      <c r="B166" s="366"/>
      <c r="C166" s="39" t="s">
        <v>284</v>
      </c>
      <c r="D166" s="154">
        <v>3.69</v>
      </c>
      <c r="E166" s="263">
        <v>3.49</v>
      </c>
      <c r="F166" s="131">
        <f t="shared" si="0"/>
        <v>3.6296000000000004</v>
      </c>
      <c r="G166" s="264">
        <f t="shared" si="4"/>
        <v>-5.4200542005420016E-2</v>
      </c>
    </row>
    <row r="167" spans="1:7" ht="12.75" customHeight="1" x14ac:dyDescent="0.15">
      <c r="A167" s="390"/>
      <c r="B167" s="365" t="s">
        <v>285</v>
      </c>
      <c r="C167" s="46" t="s">
        <v>281</v>
      </c>
      <c r="D167" s="70">
        <v>3.49</v>
      </c>
      <c r="E167" s="133">
        <v>3.79</v>
      </c>
      <c r="F167" s="131">
        <f t="shared" si="0"/>
        <v>3.9416000000000002</v>
      </c>
      <c r="G167" s="251">
        <f t="shared" si="4"/>
        <v>8.5959885386819535E-2</v>
      </c>
    </row>
    <row r="168" spans="1:7" ht="12.75" customHeight="1" x14ac:dyDescent="0.15">
      <c r="A168" s="390"/>
      <c r="B168" s="368"/>
      <c r="C168" s="42" t="s">
        <v>282</v>
      </c>
      <c r="D168" s="70">
        <v>3.49</v>
      </c>
      <c r="E168" s="133">
        <v>3.79</v>
      </c>
      <c r="F168" s="131">
        <f t="shared" si="0"/>
        <v>3.9416000000000002</v>
      </c>
      <c r="G168" s="251">
        <f t="shared" si="4"/>
        <v>8.5959885386819535E-2</v>
      </c>
    </row>
    <row r="169" spans="1:7" ht="12.75" customHeight="1" x14ac:dyDescent="0.15">
      <c r="A169" s="390"/>
      <c r="B169" s="368"/>
      <c r="C169" s="42" t="s">
        <v>262</v>
      </c>
      <c r="D169" s="70">
        <v>3.49</v>
      </c>
      <c r="E169" s="133">
        <v>3.79</v>
      </c>
      <c r="F169" s="131">
        <f t="shared" si="0"/>
        <v>3.9416000000000002</v>
      </c>
      <c r="G169" s="251">
        <f t="shared" si="4"/>
        <v>8.5959885386819535E-2</v>
      </c>
    </row>
    <row r="170" spans="1:7" ht="12.75" customHeight="1" x14ac:dyDescent="0.15">
      <c r="A170" s="390"/>
      <c r="B170" s="366"/>
      <c r="C170" s="39" t="s">
        <v>286</v>
      </c>
      <c r="D170" s="154">
        <v>3.49</v>
      </c>
      <c r="E170" s="263">
        <v>3.79</v>
      </c>
      <c r="F170" s="131">
        <f t="shared" si="0"/>
        <v>3.9416000000000002</v>
      </c>
      <c r="G170" s="264">
        <f t="shared" si="4"/>
        <v>8.5959885386819535E-2</v>
      </c>
    </row>
    <row r="171" spans="1:7" ht="12.75" customHeight="1" x14ac:dyDescent="0.15">
      <c r="A171" s="390"/>
      <c r="B171" s="365" t="s">
        <v>287</v>
      </c>
      <c r="C171" s="42" t="s">
        <v>737</v>
      </c>
      <c r="D171" s="70">
        <v>3.99</v>
      </c>
      <c r="E171" s="133">
        <v>4.29</v>
      </c>
      <c r="F171" s="131">
        <f t="shared" si="0"/>
        <v>4.4615999999999998</v>
      </c>
      <c r="G171" s="251">
        <f t="shared" si="4"/>
        <v>7.5187969924811915E-2</v>
      </c>
    </row>
    <row r="172" spans="1:7" ht="12.75" customHeight="1" x14ac:dyDescent="0.15">
      <c r="A172" s="390"/>
      <c r="B172" s="368"/>
      <c r="C172" s="42" t="s">
        <v>289</v>
      </c>
      <c r="D172" s="70">
        <v>3.99</v>
      </c>
      <c r="E172" s="133">
        <v>4.29</v>
      </c>
      <c r="F172" s="131">
        <f t="shared" si="0"/>
        <v>4.4615999999999998</v>
      </c>
      <c r="G172" s="251">
        <f t="shared" si="4"/>
        <v>7.5187969924811915E-2</v>
      </c>
    </row>
    <row r="173" spans="1:7" ht="12.75" customHeight="1" x14ac:dyDescent="0.15">
      <c r="A173" s="390"/>
      <c r="B173" s="368"/>
      <c r="C173" s="66" t="s">
        <v>290</v>
      </c>
      <c r="D173" s="70">
        <v>3.99</v>
      </c>
      <c r="E173" s="267">
        <v>4.29</v>
      </c>
      <c r="F173" s="131">
        <f t="shared" si="0"/>
        <v>4.4615999999999998</v>
      </c>
      <c r="G173" s="251">
        <f t="shared" si="4"/>
        <v>7.5187969924811915E-2</v>
      </c>
    </row>
    <row r="174" spans="1:7" ht="12.75" customHeight="1" x14ac:dyDescent="0.15">
      <c r="A174" s="390"/>
      <c r="B174" s="368"/>
      <c r="C174" s="46" t="s">
        <v>291</v>
      </c>
      <c r="D174" s="70">
        <v>3.99</v>
      </c>
      <c r="E174" s="133">
        <v>4.29</v>
      </c>
      <c r="F174" s="131">
        <f t="shared" si="0"/>
        <v>4.4615999999999998</v>
      </c>
      <c r="G174" s="251">
        <f t="shared" si="4"/>
        <v>7.5187969924811915E-2</v>
      </c>
    </row>
    <row r="175" spans="1:7" ht="12.75" customHeight="1" x14ac:dyDescent="0.15">
      <c r="A175" s="390"/>
      <c r="B175" s="368"/>
      <c r="C175" s="46" t="s">
        <v>292</v>
      </c>
      <c r="D175" s="70">
        <v>3.99</v>
      </c>
      <c r="E175" s="133">
        <v>4.29</v>
      </c>
      <c r="F175" s="131">
        <f t="shared" si="0"/>
        <v>4.4615999999999998</v>
      </c>
      <c r="G175" s="251">
        <f t="shared" si="4"/>
        <v>7.5187969924811915E-2</v>
      </c>
    </row>
    <row r="176" spans="1:7" ht="12.75" customHeight="1" x14ac:dyDescent="0.15">
      <c r="A176" s="390"/>
      <c r="B176" s="368"/>
      <c r="C176" s="42" t="s">
        <v>293</v>
      </c>
      <c r="D176" s="70">
        <v>3.99</v>
      </c>
      <c r="E176" s="253">
        <v>4.79</v>
      </c>
      <c r="F176" s="131">
        <f t="shared" si="0"/>
        <v>4.9816000000000003</v>
      </c>
      <c r="G176" s="251">
        <f t="shared" si="4"/>
        <v>0.20050125313283207</v>
      </c>
    </row>
    <row r="177" spans="1:7" ht="12.75" customHeight="1" x14ac:dyDescent="0.15">
      <c r="A177" s="390"/>
      <c r="B177" s="368"/>
      <c r="C177" s="46" t="s">
        <v>294</v>
      </c>
      <c r="D177" s="70">
        <v>3.99</v>
      </c>
      <c r="E177" s="133">
        <v>4.29</v>
      </c>
      <c r="F177" s="131">
        <f t="shared" si="0"/>
        <v>4.4615999999999998</v>
      </c>
      <c r="G177" s="251">
        <f t="shared" si="4"/>
        <v>7.5187969924811915E-2</v>
      </c>
    </row>
    <row r="178" spans="1:7" ht="12.75" customHeight="1" x14ac:dyDescent="0.15">
      <c r="A178" s="390"/>
      <c r="B178" s="366"/>
      <c r="C178" s="46" t="s">
        <v>295</v>
      </c>
      <c r="D178" s="70">
        <v>3.99</v>
      </c>
      <c r="E178" s="133">
        <v>4.29</v>
      </c>
      <c r="F178" s="131">
        <f t="shared" si="0"/>
        <v>4.4615999999999998</v>
      </c>
      <c r="G178" s="251">
        <f t="shared" si="4"/>
        <v>7.5187969924811915E-2</v>
      </c>
    </row>
    <row r="179" spans="1:7" ht="12.75" customHeight="1" x14ac:dyDescent="0.15">
      <c r="A179" s="390"/>
      <c r="B179" s="365" t="s">
        <v>296</v>
      </c>
      <c r="C179" s="42" t="s">
        <v>297</v>
      </c>
      <c r="D179" s="70">
        <v>2.29</v>
      </c>
      <c r="E179" s="133">
        <v>2.4900000000000002</v>
      </c>
      <c r="F179" s="131">
        <f t="shared" si="0"/>
        <v>2.5896000000000003</v>
      </c>
      <c r="G179" s="251">
        <f t="shared" si="4"/>
        <v>8.7336244541484698E-2</v>
      </c>
    </row>
    <row r="180" spans="1:7" ht="12.75" customHeight="1" x14ac:dyDescent="0.15">
      <c r="A180" s="390"/>
      <c r="B180" s="368"/>
      <c r="C180" s="42" t="s">
        <v>298</v>
      </c>
      <c r="D180" s="70">
        <v>3.49</v>
      </c>
      <c r="E180" s="252">
        <v>3.79</v>
      </c>
      <c r="F180" s="131">
        <f t="shared" si="0"/>
        <v>3.9416000000000002</v>
      </c>
      <c r="G180" s="251">
        <f t="shared" si="4"/>
        <v>8.5959885386819535E-2</v>
      </c>
    </row>
    <row r="181" spans="1:7" ht="12.75" customHeight="1" x14ac:dyDescent="0.15">
      <c r="A181" s="390"/>
      <c r="B181" s="368"/>
      <c r="C181" s="42" t="s">
        <v>299</v>
      </c>
      <c r="D181" s="70">
        <v>3.69</v>
      </c>
      <c r="E181" s="133">
        <v>3.99</v>
      </c>
      <c r="F181" s="131">
        <f t="shared" si="0"/>
        <v>4.1496000000000004</v>
      </c>
      <c r="G181" s="251">
        <f t="shared" si="4"/>
        <v>8.1300813008130079E-2</v>
      </c>
    </row>
    <row r="182" spans="1:7" ht="12.75" customHeight="1" x14ac:dyDescent="0.15">
      <c r="A182" s="390"/>
      <c r="B182" s="368"/>
      <c r="C182" s="42" t="s">
        <v>300</v>
      </c>
      <c r="D182" s="70">
        <v>3.69</v>
      </c>
      <c r="E182" s="133">
        <v>3.99</v>
      </c>
      <c r="F182" s="131">
        <f t="shared" si="0"/>
        <v>4.1496000000000004</v>
      </c>
      <c r="G182" s="251">
        <f t="shared" si="4"/>
        <v>8.1300813008130079E-2</v>
      </c>
    </row>
    <row r="183" spans="1:7" ht="12.75" customHeight="1" x14ac:dyDescent="0.15">
      <c r="A183" s="390"/>
      <c r="B183" s="368"/>
      <c r="C183" s="42" t="s">
        <v>261</v>
      </c>
      <c r="D183" s="70">
        <v>2.5</v>
      </c>
      <c r="E183" s="133">
        <v>2.75</v>
      </c>
      <c r="F183" s="131">
        <f t="shared" si="0"/>
        <v>2.86</v>
      </c>
      <c r="G183" s="251">
        <f t="shared" si="4"/>
        <v>0.10000000000000009</v>
      </c>
    </row>
    <row r="184" spans="1:7" ht="12.75" customHeight="1" x14ac:dyDescent="0.15">
      <c r="A184" s="390"/>
      <c r="B184" s="368"/>
      <c r="C184" s="76" t="s">
        <v>301</v>
      </c>
      <c r="D184" s="151">
        <v>2.89</v>
      </c>
      <c r="E184" s="302"/>
      <c r="F184" s="131">
        <f t="shared" si="0"/>
        <v>0</v>
      </c>
      <c r="G184" s="266"/>
    </row>
    <row r="185" spans="1:7" ht="12.75" customHeight="1" x14ac:dyDescent="0.15">
      <c r="A185" s="390"/>
      <c r="B185" s="366"/>
      <c r="C185" s="42" t="s">
        <v>302</v>
      </c>
      <c r="D185" s="70">
        <v>4.29</v>
      </c>
      <c r="E185" s="133">
        <v>4.6900000000000004</v>
      </c>
      <c r="F185" s="131">
        <f t="shared" si="0"/>
        <v>4.8776000000000002</v>
      </c>
      <c r="G185" s="251">
        <f t="shared" ref="G185:G252" si="5">+(E185/D185)-1</f>
        <v>9.3240093240093413E-2</v>
      </c>
    </row>
    <row r="186" spans="1:7" ht="12.75" customHeight="1" x14ac:dyDescent="0.15">
      <c r="A186" s="390"/>
      <c r="B186" s="365" t="s">
        <v>303</v>
      </c>
      <c r="C186" s="42" t="s">
        <v>304</v>
      </c>
      <c r="D186" s="70">
        <v>3.29</v>
      </c>
      <c r="E186" s="133">
        <v>3.49</v>
      </c>
      <c r="F186" s="131">
        <f t="shared" si="0"/>
        <v>3.6296000000000004</v>
      </c>
      <c r="G186" s="251">
        <f t="shared" si="5"/>
        <v>6.0790273556231122E-2</v>
      </c>
    </row>
    <row r="187" spans="1:7" ht="12.75" customHeight="1" x14ac:dyDescent="0.15">
      <c r="A187" s="390"/>
      <c r="B187" s="366"/>
      <c r="C187" s="42" t="s">
        <v>305</v>
      </c>
      <c r="D187" s="70">
        <v>3.29</v>
      </c>
      <c r="E187" s="133">
        <v>3.49</v>
      </c>
      <c r="F187" s="131">
        <f t="shared" si="0"/>
        <v>3.6296000000000004</v>
      </c>
      <c r="G187" s="251">
        <f t="shared" si="5"/>
        <v>6.0790273556231122E-2</v>
      </c>
    </row>
    <row r="188" spans="1:7" ht="12.75" customHeight="1" x14ac:dyDescent="0.15">
      <c r="A188" s="390"/>
      <c r="B188" s="365" t="s">
        <v>309</v>
      </c>
      <c r="C188" s="42" t="s">
        <v>310</v>
      </c>
      <c r="D188" s="70">
        <v>3.49</v>
      </c>
      <c r="E188" s="133">
        <v>3.79</v>
      </c>
      <c r="F188" s="131">
        <f t="shared" si="0"/>
        <v>3.9416000000000002</v>
      </c>
      <c r="G188" s="251">
        <f t="shared" si="5"/>
        <v>8.5959885386819535E-2</v>
      </c>
    </row>
    <row r="189" spans="1:7" ht="12.75" customHeight="1" x14ac:dyDescent="0.15">
      <c r="A189" s="390"/>
      <c r="B189" s="368"/>
      <c r="C189" s="42" t="s">
        <v>281</v>
      </c>
      <c r="D189" s="70">
        <v>3.49</v>
      </c>
      <c r="E189" s="133">
        <v>3.79</v>
      </c>
      <c r="F189" s="131">
        <f t="shared" si="0"/>
        <v>3.9416000000000002</v>
      </c>
      <c r="G189" s="251">
        <f t="shared" si="5"/>
        <v>8.5959885386819535E-2</v>
      </c>
    </row>
    <row r="190" spans="1:7" ht="12.75" customHeight="1" x14ac:dyDescent="0.15">
      <c r="A190" s="390"/>
      <c r="B190" s="366"/>
      <c r="C190" s="42" t="s">
        <v>256</v>
      </c>
      <c r="D190" s="70">
        <v>3.49</v>
      </c>
      <c r="E190" s="133">
        <v>3.79</v>
      </c>
      <c r="F190" s="131">
        <f t="shared" si="0"/>
        <v>3.9416000000000002</v>
      </c>
      <c r="G190" s="251">
        <f t="shared" si="5"/>
        <v>8.5959885386819535E-2</v>
      </c>
    </row>
    <row r="191" spans="1:7" ht="12.75" customHeight="1" x14ac:dyDescent="0.15">
      <c r="A191" s="390"/>
      <c r="B191" s="365" t="s">
        <v>311</v>
      </c>
      <c r="C191" s="42" t="s">
        <v>310</v>
      </c>
      <c r="D191" s="70">
        <v>2.4900000000000002</v>
      </c>
      <c r="E191" s="133">
        <v>2.69</v>
      </c>
      <c r="F191" s="131">
        <f t="shared" si="0"/>
        <v>2.7976000000000001</v>
      </c>
      <c r="G191" s="251">
        <f t="shared" si="5"/>
        <v>8.0321285140562138E-2</v>
      </c>
    </row>
    <row r="192" spans="1:7" ht="12.75" customHeight="1" x14ac:dyDescent="0.15">
      <c r="A192" s="390"/>
      <c r="B192" s="366"/>
      <c r="C192" s="42" t="s">
        <v>281</v>
      </c>
      <c r="D192" s="70">
        <v>2.4900000000000002</v>
      </c>
      <c r="E192" s="133">
        <v>2.69</v>
      </c>
      <c r="F192" s="131">
        <f t="shared" si="0"/>
        <v>2.7976000000000001</v>
      </c>
      <c r="G192" s="251">
        <f t="shared" si="5"/>
        <v>8.0321285140562138E-2</v>
      </c>
    </row>
    <row r="193" spans="1:7" ht="12.75" customHeight="1" x14ac:dyDescent="0.15">
      <c r="A193" s="390"/>
      <c r="B193" s="365" t="s">
        <v>313</v>
      </c>
      <c r="C193" s="42" t="s">
        <v>281</v>
      </c>
      <c r="D193" s="70">
        <v>5.49</v>
      </c>
      <c r="E193" s="252">
        <v>5.79</v>
      </c>
      <c r="F193" s="131">
        <f t="shared" si="0"/>
        <v>6.0216000000000003</v>
      </c>
      <c r="G193" s="251">
        <f t="shared" si="5"/>
        <v>5.464480874316946E-2</v>
      </c>
    </row>
    <row r="194" spans="1:7" ht="12.75" customHeight="1" x14ac:dyDescent="0.15">
      <c r="A194" s="390"/>
      <c r="B194" s="368"/>
      <c r="C194" s="42" t="s">
        <v>314</v>
      </c>
      <c r="D194" s="70">
        <v>5.49</v>
      </c>
      <c r="E194" s="252">
        <v>5.79</v>
      </c>
      <c r="F194" s="131">
        <f t="shared" si="0"/>
        <v>6.0216000000000003</v>
      </c>
      <c r="G194" s="251">
        <f t="shared" si="5"/>
        <v>5.464480874316946E-2</v>
      </c>
    </row>
    <row r="195" spans="1:7" ht="12.75" customHeight="1" x14ac:dyDescent="0.15">
      <c r="A195" s="390"/>
      <c r="B195" s="368"/>
      <c r="C195" s="42" t="s">
        <v>315</v>
      </c>
      <c r="D195" s="70">
        <v>5.49</v>
      </c>
      <c r="E195" s="252">
        <v>5.79</v>
      </c>
      <c r="F195" s="131">
        <f t="shared" si="0"/>
        <v>6.0216000000000003</v>
      </c>
      <c r="G195" s="251">
        <f t="shared" si="5"/>
        <v>5.464480874316946E-2</v>
      </c>
    </row>
    <row r="196" spans="1:7" ht="12.75" customHeight="1" x14ac:dyDescent="0.15">
      <c r="A196" s="390"/>
      <c r="B196" s="368"/>
      <c r="C196" s="42" t="s">
        <v>316</v>
      </c>
      <c r="D196" s="70">
        <v>5.49</v>
      </c>
      <c r="E196" s="252">
        <v>5.79</v>
      </c>
      <c r="F196" s="131">
        <f t="shared" si="0"/>
        <v>6.0216000000000003</v>
      </c>
      <c r="G196" s="251">
        <f t="shared" si="5"/>
        <v>5.464480874316946E-2</v>
      </c>
    </row>
    <row r="197" spans="1:7" ht="12.75" customHeight="1" x14ac:dyDescent="0.15">
      <c r="A197" s="390"/>
      <c r="B197" s="368"/>
      <c r="C197" s="42" t="s">
        <v>317</v>
      </c>
      <c r="D197" s="70">
        <v>5.49</v>
      </c>
      <c r="E197" s="252">
        <v>5.79</v>
      </c>
      <c r="F197" s="131">
        <f t="shared" si="0"/>
        <v>6.0216000000000003</v>
      </c>
      <c r="G197" s="251">
        <f t="shared" si="5"/>
        <v>5.464480874316946E-2</v>
      </c>
    </row>
    <row r="198" spans="1:7" ht="12.75" customHeight="1" x14ac:dyDescent="0.15">
      <c r="A198" s="390"/>
      <c r="B198" s="368"/>
      <c r="C198" s="42" t="s">
        <v>318</v>
      </c>
      <c r="D198" s="70">
        <v>5.49</v>
      </c>
      <c r="E198" s="252">
        <v>5.79</v>
      </c>
      <c r="F198" s="131">
        <f t="shared" si="0"/>
        <v>6.0216000000000003</v>
      </c>
      <c r="G198" s="251">
        <f t="shared" si="5"/>
        <v>5.464480874316946E-2</v>
      </c>
    </row>
    <row r="199" spans="1:7" ht="12.75" customHeight="1" x14ac:dyDescent="0.15">
      <c r="A199" s="390"/>
      <c r="B199" s="366"/>
      <c r="C199" s="42" t="s">
        <v>319</v>
      </c>
      <c r="D199" s="70">
        <v>5.49</v>
      </c>
      <c r="E199" s="252">
        <v>5.79</v>
      </c>
      <c r="F199" s="131">
        <f t="shared" si="0"/>
        <v>6.0216000000000003</v>
      </c>
      <c r="G199" s="251">
        <f t="shared" si="5"/>
        <v>5.464480874316946E-2</v>
      </c>
    </row>
    <row r="200" spans="1:7" ht="12.75" customHeight="1" x14ac:dyDescent="0.15">
      <c r="A200" s="390"/>
      <c r="B200" s="365" t="s">
        <v>326</v>
      </c>
      <c r="C200" s="46" t="s">
        <v>327</v>
      </c>
      <c r="D200" s="70">
        <v>4.59</v>
      </c>
      <c r="E200" s="133">
        <v>4.79</v>
      </c>
      <c r="F200" s="131">
        <f t="shared" si="0"/>
        <v>4.9816000000000003</v>
      </c>
      <c r="G200" s="251">
        <f t="shared" si="5"/>
        <v>4.3572984749455479E-2</v>
      </c>
    </row>
    <row r="201" spans="1:7" ht="12.75" customHeight="1" x14ac:dyDescent="0.15">
      <c r="A201" s="390"/>
      <c r="B201" s="366"/>
      <c r="C201" s="303" t="s">
        <v>328</v>
      </c>
      <c r="D201" s="70">
        <v>4.3899999999999997</v>
      </c>
      <c r="E201" s="252">
        <v>4.59</v>
      </c>
      <c r="F201" s="131">
        <f t="shared" si="0"/>
        <v>4.7736000000000001</v>
      </c>
      <c r="G201" s="251">
        <f t="shared" si="5"/>
        <v>4.5558086560364419E-2</v>
      </c>
    </row>
    <row r="202" spans="1:7" ht="12.75" customHeight="1" x14ac:dyDescent="0.15">
      <c r="A202" s="390"/>
      <c r="B202" s="365" t="s">
        <v>738</v>
      </c>
      <c r="C202" s="46" t="s">
        <v>40</v>
      </c>
      <c r="D202" s="70">
        <v>3.49</v>
      </c>
      <c r="E202" s="70">
        <v>3.49</v>
      </c>
      <c r="F202" s="131">
        <f t="shared" si="0"/>
        <v>3.6296000000000004</v>
      </c>
      <c r="G202" s="251">
        <f t="shared" si="5"/>
        <v>0</v>
      </c>
    </row>
    <row r="203" spans="1:7" ht="12.75" customHeight="1" x14ac:dyDescent="0.15">
      <c r="A203" s="390"/>
      <c r="B203" s="368"/>
      <c r="C203" s="42" t="s">
        <v>329</v>
      </c>
      <c r="D203" s="70">
        <v>10.99</v>
      </c>
      <c r="E203" s="70">
        <v>10.99</v>
      </c>
      <c r="F203" s="131">
        <f t="shared" si="0"/>
        <v>11.429600000000001</v>
      </c>
      <c r="G203" s="251">
        <f t="shared" si="5"/>
        <v>0</v>
      </c>
    </row>
    <row r="204" spans="1:7" ht="12.75" customHeight="1" x14ac:dyDescent="0.15">
      <c r="A204" s="390"/>
      <c r="B204" s="368"/>
      <c r="C204" s="42" t="s">
        <v>330</v>
      </c>
      <c r="D204" s="70">
        <v>10.99</v>
      </c>
      <c r="E204" s="70">
        <v>10.99</v>
      </c>
      <c r="F204" s="131">
        <f t="shared" si="0"/>
        <v>11.429600000000001</v>
      </c>
      <c r="G204" s="251">
        <f t="shared" si="5"/>
        <v>0</v>
      </c>
    </row>
    <row r="205" spans="1:7" ht="12.75" customHeight="1" x14ac:dyDescent="0.15">
      <c r="A205" s="390"/>
      <c r="B205" s="368"/>
      <c r="C205" s="42" t="s">
        <v>331</v>
      </c>
      <c r="D205" s="70">
        <v>10.99</v>
      </c>
      <c r="E205" s="70">
        <v>10.99</v>
      </c>
      <c r="F205" s="131">
        <f t="shared" si="0"/>
        <v>11.429600000000001</v>
      </c>
      <c r="G205" s="251">
        <f t="shared" si="5"/>
        <v>0</v>
      </c>
    </row>
    <row r="206" spans="1:7" ht="12.75" customHeight="1" x14ac:dyDescent="0.15">
      <c r="A206" s="390"/>
      <c r="B206" s="368"/>
      <c r="C206" s="42" t="s">
        <v>332</v>
      </c>
      <c r="D206" s="70">
        <v>10.99</v>
      </c>
      <c r="E206" s="70">
        <v>10.99</v>
      </c>
      <c r="F206" s="131">
        <f t="shared" si="0"/>
        <v>11.429600000000001</v>
      </c>
      <c r="G206" s="251">
        <f t="shared" si="5"/>
        <v>0</v>
      </c>
    </row>
    <row r="207" spans="1:7" ht="12.75" customHeight="1" x14ac:dyDescent="0.15">
      <c r="A207" s="390"/>
      <c r="B207" s="368"/>
      <c r="C207" s="42" t="s">
        <v>333</v>
      </c>
      <c r="D207" s="70">
        <v>10.99</v>
      </c>
      <c r="E207" s="70">
        <v>10.99</v>
      </c>
      <c r="F207" s="131">
        <f t="shared" si="0"/>
        <v>11.429600000000001</v>
      </c>
      <c r="G207" s="251">
        <f t="shared" si="5"/>
        <v>0</v>
      </c>
    </row>
    <row r="208" spans="1:7" ht="12.75" customHeight="1" x14ac:dyDescent="0.15">
      <c r="A208" s="390"/>
      <c r="B208" s="368"/>
      <c r="C208" s="42" t="s">
        <v>334</v>
      </c>
      <c r="D208" s="70">
        <v>13.99</v>
      </c>
      <c r="E208" s="70">
        <v>13.99</v>
      </c>
      <c r="F208" s="131">
        <f t="shared" si="0"/>
        <v>14.5496</v>
      </c>
      <c r="G208" s="251">
        <f t="shared" si="5"/>
        <v>0</v>
      </c>
    </row>
    <row r="209" spans="1:7" ht="12.75" customHeight="1" x14ac:dyDescent="0.15">
      <c r="A209" s="390"/>
      <c r="B209" s="368"/>
      <c r="C209" s="42" t="s">
        <v>335</v>
      </c>
      <c r="D209" s="70">
        <v>11.99</v>
      </c>
      <c r="E209" s="70">
        <v>11.99</v>
      </c>
      <c r="F209" s="131">
        <f t="shared" si="0"/>
        <v>12.4696</v>
      </c>
      <c r="G209" s="251">
        <f t="shared" si="5"/>
        <v>0</v>
      </c>
    </row>
    <row r="210" spans="1:7" ht="12.75" customHeight="1" x14ac:dyDescent="0.15">
      <c r="A210" s="390"/>
      <c r="B210" s="366"/>
      <c r="C210" s="42" t="s">
        <v>336</v>
      </c>
      <c r="D210" s="70">
        <v>11.99</v>
      </c>
      <c r="E210" s="70">
        <v>11.99</v>
      </c>
      <c r="F210" s="131">
        <f t="shared" si="0"/>
        <v>12.4696</v>
      </c>
      <c r="G210" s="251">
        <f t="shared" si="5"/>
        <v>0</v>
      </c>
    </row>
    <row r="211" spans="1:7" ht="12.75" customHeight="1" x14ac:dyDescent="0.15">
      <c r="A211" s="390"/>
      <c r="B211" s="365" t="s">
        <v>337</v>
      </c>
      <c r="C211" s="42" t="s">
        <v>739</v>
      </c>
      <c r="D211" s="70">
        <v>12.69</v>
      </c>
      <c r="E211" s="70">
        <v>12.69</v>
      </c>
      <c r="F211" s="131">
        <f t="shared" si="0"/>
        <v>13.1976</v>
      </c>
      <c r="G211" s="251">
        <f t="shared" si="5"/>
        <v>0</v>
      </c>
    </row>
    <row r="212" spans="1:7" ht="12.75" customHeight="1" x14ac:dyDescent="0.15">
      <c r="A212" s="390"/>
      <c r="B212" s="368"/>
      <c r="C212" s="42" t="s">
        <v>341</v>
      </c>
      <c r="D212" s="70">
        <v>19.989999999999998</v>
      </c>
      <c r="E212" s="70">
        <v>19.989999999999998</v>
      </c>
      <c r="F212" s="131">
        <f t="shared" si="0"/>
        <v>20.7896</v>
      </c>
      <c r="G212" s="251">
        <f t="shared" si="5"/>
        <v>0</v>
      </c>
    </row>
    <row r="213" spans="1:7" ht="12.75" customHeight="1" x14ac:dyDescent="0.15">
      <c r="A213" s="390"/>
      <c r="B213" s="368"/>
      <c r="C213" s="42" t="s">
        <v>342</v>
      </c>
      <c r="D213" s="70">
        <v>11.49</v>
      </c>
      <c r="E213" s="70">
        <v>11.49</v>
      </c>
      <c r="F213" s="131">
        <f t="shared" si="0"/>
        <v>11.9496</v>
      </c>
      <c r="G213" s="251">
        <f t="shared" si="5"/>
        <v>0</v>
      </c>
    </row>
    <row r="214" spans="1:7" ht="12.75" customHeight="1" x14ac:dyDescent="0.15">
      <c r="A214" s="390"/>
      <c r="B214" s="368"/>
      <c r="C214" s="42" t="s">
        <v>343</v>
      </c>
      <c r="D214" s="70">
        <v>14.99</v>
      </c>
      <c r="E214" s="70">
        <v>14.99</v>
      </c>
      <c r="F214" s="131">
        <f t="shared" si="0"/>
        <v>15.589600000000001</v>
      </c>
      <c r="G214" s="251">
        <f t="shared" si="5"/>
        <v>0</v>
      </c>
    </row>
    <row r="215" spans="1:7" ht="12.75" customHeight="1" x14ac:dyDescent="0.15">
      <c r="A215" s="390"/>
      <c r="B215" s="368"/>
      <c r="C215" s="42" t="s">
        <v>345</v>
      </c>
      <c r="D215" s="70">
        <v>15.99</v>
      </c>
      <c r="E215" s="70">
        <v>15.99</v>
      </c>
      <c r="F215" s="131">
        <f t="shared" si="0"/>
        <v>16.6296</v>
      </c>
      <c r="G215" s="251">
        <f t="shared" si="5"/>
        <v>0</v>
      </c>
    </row>
    <row r="216" spans="1:7" ht="12.75" customHeight="1" x14ac:dyDescent="0.15">
      <c r="A216" s="390"/>
      <c r="B216" s="368"/>
      <c r="C216" s="42" t="s">
        <v>346</v>
      </c>
      <c r="D216" s="70">
        <v>11.49</v>
      </c>
      <c r="E216" s="70">
        <v>11.49</v>
      </c>
      <c r="F216" s="131">
        <f t="shared" si="0"/>
        <v>11.9496</v>
      </c>
      <c r="G216" s="251">
        <f t="shared" si="5"/>
        <v>0</v>
      </c>
    </row>
    <row r="217" spans="1:7" ht="12.75" customHeight="1" x14ac:dyDescent="0.15">
      <c r="A217" s="390"/>
      <c r="B217" s="368"/>
      <c r="C217" s="42" t="s">
        <v>347</v>
      </c>
      <c r="D217" s="70">
        <v>10.29</v>
      </c>
      <c r="E217" s="70">
        <v>10.29</v>
      </c>
      <c r="F217" s="131">
        <f t="shared" si="0"/>
        <v>10.701599999999999</v>
      </c>
      <c r="G217" s="251">
        <f t="shared" si="5"/>
        <v>0</v>
      </c>
    </row>
    <row r="218" spans="1:7" ht="12.75" customHeight="1" x14ac:dyDescent="0.15">
      <c r="A218" s="390"/>
      <c r="B218" s="368"/>
      <c r="C218" s="42" t="s">
        <v>348</v>
      </c>
      <c r="D218" s="70">
        <v>14.99</v>
      </c>
      <c r="E218" s="70">
        <v>16.989999999999998</v>
      </c>
      <c r="F218" s="131">
        <f t="shared" si="0"/>
        <v>17.669599999999999</v>
      </c>
      <c r="G218" s="251">
        <f t="shared" si="5"/>
        <v>0.13342228152101399</v>
      </c>
    </row>
    <row r="219" spans="1:7" ht="12.75" customHeight="1" x14ac:dyDescent="0.15">
      <c r="A219" s="390"/>
      <c r="B219" s="368"/>
      <c r="C219" s="42" t="s">
        <v>349</v>
      </c>
      <c r="D219" s="70">
        <v>24</v>
      </c>
      <c r="E219" s="70">
        <v>24</v>
      </c>
      <c r="F219" s="131">
        <f t="shared" si="0"/>
        <v>24.96</v>
      </c>
      <c r="G219" s="251">
        <f t="shared" si="5"/>
        <v>0</v>
      </c>
    </row>
    <row r="220" spans="1:7" ht="12.75" customHeight="1" x14ac:dyDescent="0.15">
      <c r="A220" s="391"/>
      <c r="B220" s="378"/>
      <c r="C220" s="78" t="s">
        <v>350</v>
      </c>
      <c r="D220" s="144">
        <v>22</v>
      </c>
      <c r="E220" s="144">
        <v>22</v>
      </c>
      <c r="F220" s="131">
        <f t="shared" si="0"/>
        <v>22.88</v>
      </c>
      <c r="G220" s="251">
        <f t="shared" si="5"/>
        <v>0</v>
      </c>
    </row>
    <row r="221" spans="1:7" ht="12.75" customHeight="1" x14ac:dyDescent="0.15">
      <c r="A221" s="400" t="s">
        <v>356</v>
      </c>
      <c r="B221" s="399" t="s">
        <v>357</v>
      </c>
      <c r="C221" s="61" t="s">
        <v>740</v>
      </c>
      <c r="D221" s="141">
        <v>2.19</v>
      </c>
      <c r="E221" s="131">
        <v>2.59</v>
      </c>
      <c r="F221" s="131">
        <f t="shared" si="0"/>
        <v>2.6936</v>
      </c>
      <c r="G221" s="251">
        <f t="shared" si="5"/>
        <v>0.18264840182648401</v>
      </c>
    </row>
    <row r="222" spans="1:7" ht="12.75" customHeight="1" x14ac:dyDescent="0.15">
      <c r="A222" s="390"/>
      <c r="B222" s="368"/>
      <c r="C222" s="42" t="s">
        <v>741</v>
      </c>
      <c r="D222" s="70">
        <v>5.19</v>
      </c>
      <c r="E222" s="133">
        <v>5.49</v>
      </c>
      <c r="F222" s="131">
        <f t="shared" si="0"/>
        <v>5.7096</v>
      </c>
      <c r="G222" s="251">
        <f t="shared" si="5"/>
        <v>5.7803468208092346E-2</v>
      </c>
    </row>
    <row r="223" spans="1:7" ht="12.75" customHeight="1" x14ac:dyDescent="0.15">
      <c r="A223" s="390"/>
      <c r="B223" s="368"/>
      <c r="C223" s="42" t="s">
        <v>359</v>
      </c>
      <c r="D223" s="70">
        <v>0.69</v>
      </c>
      <c r="E223" s="252">
        <v>0.75</v>
      </c>
      <c r="F223" s="131">
        <f t="shared" si="0"/>
        <v>0.78</v>
      </c>
      <c r="G223" s="251">
        <f t="shared" si="5"/>
        <v>8.6956521739130599E-2</v>
      </c>
    </row>
    <row r="224" spans="1:7" ht="12.75" customHeight="1" x14ac:dyDescent="0.15">
      <c r="A224" s="390"/>
      <c r="B224" s="366"/>
      <c r="C224" s="42" t="s">
        <v>742</v>
      </c>
      <c r="D224" s="70">
        <v>0.6</v>
      </c>
      <c r="E224" s="252">
        <v>0.75</v>
      </c>
      <c r="F224" s="131">
        <f t="shared" si="0"/>
        <v>0.78</v>
      </c>
      <c r="G224" s="251">
        <f t="shared" si="5"/>
        <v>0.25</v>
      </c>
    </row>
    <row r="225" spans="1:7" ht="12.75" customHeight="1" x14ac:dyDescent="0.15">
      <c r="A225" s="390"/>
      <c r="B225" s="365" t="s">
        <v>361</v>
      </c>
      <c r="C225" s="46" t="s">
        <v>362</v>
      </c>
      <c r="D225" s="70">
        <v>3.19</v>
      </c>
      <c r="E225" s="252">
        <v>3.99</v>
      </c>
      <c r="F225" s="131">
        <f t="shared" si="0"/>
        <v>4.1496000000000004</v>
      </c>
      <c r="G225" s="251">
        <f t="shared" si="5"/>
        <v>0.25078369905956133</v>
      </c>
    </row>
    <row r="226" spans="1:7" ht="12.75" customHeight="1" x14ac:dyDescent="0.15">
      <c r="A226" s="390"/>
      <c r="B226" s="368"/>
      <c r="C226" s="42" t="s">
        <v>363</v>
      </c>
      <c r="D226" s="70">
        <v>3.29</v>
      </c>
      <c r="E226" s="252">
        <v>4.25</v>
      </c>
      <c r="F226" s="131">
        <f t="shared" si="0"/>
        <v>4.42</v>
      </c>
      <c r="G226" s="251">
        <f t="shared" si="5"/>
        <v>0.29179331306990886</v>
      </c>
    </row>
    <row r="227" spans="1:7" ht="12.75" customHeight="1" x14ac:dyDescent="0.15">
      <c r="A227" s="390"/>
      <c r="B227" s="366"/>
      <c r="C227" s="42" t="s">
        <v>364</v>
      </c>
      <c r="D227" s="70">
        <v>3.19</v>
      </c>
      <c r="E227" s="252">
        <v>3.99</v>
      </c>
      <c r="F227" s="131">
        <f t="shared" si="0"/>
        <v>4.1496000000000004</v>
      </c>
      <c r="G227" s="251">
        <f t="shared" si="5"/>
        <v>0.25078369905956133</v>
      </c>
    </row>
    <row r="228" spans="1:7" ht="12.75" customHeight="1" x14ac:dyDescent="0.15">
      <c r="A228" s="390"/>
      <c r="B228" s="401" t="s">
        <v>743</v>
      </c>
      <c r="C228" s="42" t="s">
        <v>159</v>
      </c>
      <c r="D228" s="70">
        <v>3.99</v>
      </c>
      <c r="E228" s="252">
        <v>4.49</v>
      </c>
      <c r="F228" s="131">
        <f t="shared" si="0"/>
        <v>4.6696</v>
      </c>
      <c r="G228" s="251">
        <f t="shared" si="5"/>
        <v>0.12531328320802015</v>
      </c>
    </row>
    <row r="229" spans="1:7" ht="12.75" customHeight="1" x14ac:dyDescent="0.15">
      <c r="A229" s="390"/>
      <c r="B229" s="366"/>
      <c r="C229" s="42" t="s">
        <v>744</v>
      </c>
      <c r="D229" s="70">
        <v>3.99</v>
      </c>
      <c r="E229" s="252">
        <v>4.49</v>
      </c>
      <c r="F229" s="131">
        <f t="shared" si="0"/>
        <v>4.6696</v>
      </c>
      <c r="G229" s="251">
        <f t="shared" si="5"/>
        <v>0.12531328320802015</v>
      </c>
    </row>
    <row r="230" spans="1:7" ht="12.75" customHeight="1" x14ac:dyDescent="0.15">
      <c r="A230" s="390"/>
      <c r="B230" s="401" t="s">
        <v>365</v>
      </c>
      <c r="C230" s="42" t="s">
        <v>40</v>
      </c>
      <c r="D230" s="70">
        <v>5.99</v>
      </c>
      <c r="E230" s="252">
        <v>5.99</v>
      </c>
      <c r="F230" s="131">
        <f t="shared" si="0"/>
        <v>6.2296000000000005</v>
      </c>
      <c r="G230" s="251">
        <f t="shared" si="5"/>
        <v>0</v>
      </c>
    </row>
    <row r="231" spans="1:7" ht="12.75" customHeight="1" x14ac:dyDescent="0.15">
      <c r="A231" s="390"/>
      <c r="B231" s="366"/>
      <c r="C231" s="42" t="s">
        <v>366</v>
      </c>
      <c r="D231" s="70">
        <v>34.99</v>
      </c>
      <c r="E231" s="252">
        <v>34.99</v>
      </c>
      <c r="F231" s="131">
        <f t="shared" si="0"/>
        <v>36.389600000000002</v>
      </c>
      <c r="G231" s="251">
        <f t="shared" si="5"/>
        <v>0</v>
      </c>
    </row>
    <row r="232" spans="1:7" ht="12.75" customHeight="1" x14ac:dyDescent="0.15">
      <c r="A232" s="390"/>
      <c r="B232" s="365" t="s">
        <v>745</v>
      </c>
      <c r="C232" s="42" t="s">
        <v>368</v>
      </c>
      <c r="D232" s="70">
        <v>2.29</v>
      </c>
      <c r="E232" s="70">
        <v>2.29</v>
      </c>
      <c r="F232" s="131">
        <f t="shared" si="0"/>
        <v>2.3816000000000002</v>
      </c>
      <c r="G232" s="251">
        <f t="shared" si="5"/>
        <v>0</v>
      </c>
    </row>
    <row r="233" spans="1:7" ht="12.75" customHeight="1" x14ac:dyDescent="0.15">
      <c r="A233" s="390"/>
      <c r="B233" s="368"/>
      <c r="C233" s="42" t="s">
        <v>746</v>
      </c>
      <c r="D233" s="70">
        <v>2.29</v>
      </c>
      <c r="E233" s="70">
        <v>2.29</v>
      </c>
      <c r="F233" s="131">
        <f t="shared" si="0"/>
        <v>2.3816000000000002</v>
      </c>
      <c r="G233" s="251">
        <f t="shared" si="5"/>
        <v>0</v>
      </c>
    </row>
    <row r="234" spans="1:7" ht="12.75" customHeight="1" x14ac:dyDescent="0.15">
      <c r="A234" s="390"/>
      <c r="B234" s="368"/>
      <c r="C234" s="42" t="s">
        <v>747</v>
      </c>
      <c r="D234" s="70">
        <v>2.29</v>
      </c>
      <c r="E234" s="70">
        <v>2.29</v>
      </c>
      <c r="F234" s="131">
        <f t="shared" si="0"/>
        <v>2.3816000000000002</v>
      </c>
      <c r="G234" s="251">
        <f t="shared" si="5"/>
        <v>0</v>
      </c>
    </row>
    <row r="235" spans="1:7" ht="12.75" customHeight="1" x14ac:dyDescent="0.15">
      <c r="A235" s="390"/>
      <c r="B235" s="368"/>
      <c r="C235" s="304" t="s">
        <v>369</v>
      </c>
      <c r="D235" s="70">
        <v>5.79</v>
      </c>
      <c r="E235" s="70">
        <v>5.79</v>
      </c>
      <c r="F235" s="131">
        <f t="shared" si="0"/>
        <v>6.0216000000000003</v>
      </c>
      <c r="G235" s="251">
        <f t="shared" si="5"/>
        <v>0</v>
      </c>
    </row>
    <row r="236" spans="1:7" ht="12.75" customHeight="1" x14ac:dyDescent="0.15">
      <c r="A236" s="390"/>
      <c r="B236" s="368"/>
      <c r="C236" s="42" t="s">
        <v>748</v>
      </c>
      <c r="D236" s="70">
        <v>2.29</v>
      </c>
      <c r="E236" s="70">
        <v>2.29</v>
      </c>
      <c r="F236" s="131">
        <f t="shared" si="0"/>
        <v>2.3816000000000002</v>
      </c>
      <c r="G236" s="251">
        <f t="shared" si="5"/>
        <v>0</v>
      </c>
    </row>
    <row r="237" spans="1:7" ht="12.75" customHeight="1" x14ac:dyDescent="0.15">
      <c r="A237" s="390"/>
      <c r="B237" s="368"/>
      <c r="C237" s="42" t="s">
        <v>749</v>
      </c>
      <c r="D237" s="70">
        <v>3.99</v>
      </c>
      <c r="E237" s="70">
        <v>3.99</v>
      </c>
      <c r="F237" s="131">
        <f t="shared" si="0"/>
        <v>4.1496000000000004</v>
      </c>
      <c r="G237" s="251">
        <f t="shared" si="5"/>
        <v>0</v>
      </c>
    </row>
    <row r="238" spans="1:7" ht="12.75" customHeight="1" x14ac:dyDescent="0.15">
      <c r="A238" s="390"/>
      <c r="B238" s="368"/>
      <c r="C238" s="42" t="s">
        <v>370</v>
      </c>
      <c r="D238" s="70">
        <v>3.19</v>
      </c>
      <c r="E238" s="70">
        <v>3.19</v>
      </c>
      <c r="F238" s="131">
        <f t="shared" si="0"/>
        <v>3.3176000000000001</v>
      </c>
      <c r="G238" s="251">
        <f t="shared" si="5"/>
        <v>0</v>
      </c>
    </row>
    <row r="239" spans="1:7" ht="12.75" customHeight="1" x14ac:dyDescent="0.15">
      <c r="A239" s="390"/>
      <c r="B239" s="366"/>
      <c r="C239" s="42" t="s">
        <v>371</v>
      </c>
      <c r="D239" s="70">
        <v>5.99</v>
      </c>
      <c r="E239" s="70">
        <v>5.99</v>
      </c>
      <c r="F239" s="131">
        <f t="shared" si="0"/>
        <v>6.2296000000000005</v>
      </c>
      <c r="G239" s="251">
        <f t="shared" si="5"/>
        <v>0</v>
      </c>
    </row>
    <row r="240" spans="1:7" ht="12.75" customHeight="1" x14ac:dyDescent="0.15">
      <c r="A240" s="390"/>
      <c r="B240" s="365" t="s">
        <v>381</v>
      </c>
      <c r="C240" s="42" t="s">
        <v>382</v>
      </c>
      <c r="D240" s="70">
        <v>3.99</v>
      </c>
      <c r="E240" s="252">
        <v>4.3499999999999996</v>
      </c>
      <c r="F240" s="131">
        <f t="shared" si="0"/>
        <v>4.524</v>
      </c>
      <c r="G240" s="251">
        <f t="shared" si="5"/>
        <v>9.0225563909774209E-2</v>
      </c>
    </row>
    <row r="241" spans="1:7" ht="12.75" customHeight="1" x14ac:dyDescent="0.15">
      <c r="A241" s="390"/>
      <c r="B241" s="368"/>
      <c r="C241" s="42" t="s">
        <v>383</v>
      </c>
      <c r="D241" s="70">
        <v>5.19</v>
      </c>
      <c r="E241" s="252">
        <v>5.19</v>
      </c>
      <c r="F241" s="131">
        <f t="shared" si="0"/>
        <v>5.3976000000000006</v>
      </c>
      <c r="G241" s="251">
        <f t="shared" si="5"/>
        <v>0</v>
      </c>
    </row>
    <row r="242" spans="1:7" ht="12.75" customHeight="1" x14ac:dyDescent="0.15">
      <c r="A242" s="390"/>
      <c r="B242" s="368"/>
      <c r="C242" s="42" t="s">
        <v>384</v>
      </c>
      <c r="D242" s="70">
        <v>6.89</v>
      </c>
      <c r="E242" s="252">
        <v>7.49</v>
      </c>
      <c r="F242" s="131">
        <f t="shared" si="0"/>
        <v>7.7896000000000001</v>
      </c>
      <c r="G242" s="251">
        <f t="shared" si="5"/>
        <v>8.7082728592162706E-2</v>
      </c>
    </row>
    <row r="243" spans="1:7" ht="12.75" customHeight="1" x14ac:dyDescent="0.15">
      <c r="A243" s="390"/>
      <c r="B243" s="368"/>
      <c r="C243" s="42" t="s">
        <v>385</v>
      </c>
      <c r="D243" s="70">
        <v>7.99</v>
      </c>
      <c r="E243" s="252">
        <v>8.49</v>
      </c>
      <c r="F243" s="131">
        <f t="shared" si="0"/>
        <v>8.829600000000001</v>
      </c>
      <c r="G243" s="251">
        <f t="shared" si="5"/>
        <v>6.2578222778473025E-2</v>
      </c>
    </row>
    <row r="244" spans="1:7" ht="12.75" customHeight="1" x14ac:dyDescent="0.15">
      <c r="A244" s="390"/>
      <c r="B244" s="368"/>
      <c r="C244" s="42" t="s">
        <v>386</v>
      </c>
      <c r="D244" s="70">
        <v>3.99</v>
      </c>
      <c r="E244" s="252">
        <v>3.99</v>
      </c>
      <c r="F244" s="131">
        <f t="shared" si="0"/>
        <v>4.1496000000000004</v>
      </c>
      <c r="G244" s="251">
        <f t="shared" si="5"/>
        <v>0</v>
      </c>
    </row>
    <row r="245" spans="1:7" ht="12.75" customHeight="1" x14ac:dyDescent="0.15">
      <c r="A245" s="390"/>
      <c r="B245" s="368"/>
      <c r="C245" s="42" t="s">
        <v>387</v>
      </c>
      <c r="D245" s="70">
        <v>3.99</v>
      </c>
      <c r="E245" s="252">
        <v>3.99</v>
      </c>
      <c r="F245" s="131">
        <f t="shared" si="0"/>
        <v>4.1496000000000004</v>
      </c>
      <c r="G245" s="251">
        <f t="shared" si="5"/>
        <v>0</v>
      </c>
    </row>
    <row r="246" spans="1:7" ht="12.75" customHeight="1" x14ac:dyDescent="0.15">
      <c r="A246" s="393" t="s">
        <v>388</v>
      </c>
      <c r="B246" s="399" t="s">
        <v>389</v>
      </c>
      <c r="C246" s="61" t="s">
        <v>390</v>
      </c>
      <c r="D246" s="141">
        <v>2.99</v>
      </c>
      <c r="E246" s="252">
        <v>2.99</v>
      </c>
      <c r="F246" s="131">
        <f t="shared" si="0"/>
        <v>3.1096000000000004</v>
      </c>
      <c r="G246" s="251">
        <f t="shared" si="5"/>
        <v>0</v>
      </c>
    </row>
    <row r="247" spans="1:7" ht="12.75" customHeight="1" x14ac:dyDescent="0.15">
      <c r="A247" s="390"/>
      <c r="B247" s="366"/>
      <c r="C247" s="42" t="s">
        <v>391</v>
      </c>
      <c r="D247" s="70">
        <v>11.49</v>
      </c>
      <c r="E247" s="252">
        <v>14.99</v>
      </c>
      <c r="F247" s="131">
        <f t="shared" si="0"/>
        <v>15.589600000000001</v>
      </c>
      <c r="G247" s="251">
        <f t="shared" si="5"/>
        <v>0.30461270670147944</v>
      </c>
    </row>
    <row r="248" spans="1:7" ht="12.75" customHeight="1" x14ac:dyDescent="0.15">
      <c r="A248" s="390"/>
      <c r="B248" s="365" t="s">
        <v>392</v>
      </c>
      <c r="C248" s="46" t="s">
        <v>129</v>
      </c>
      <c r="D248" s="70">
        <v>1.79</v>
      </c>
      <c r="E248" s="252">
        <v>1.89</v>
      </c>
      <c r="F248" s="131">
        <f t="shared" si="0"/>
        <v>1.9655999999999998</v>
      </c>
      <c r="G248" s="251">
        <f t="shared" si="5"/>
        <v>5.5865921787709327E-2</v>
      </c>
    </row>
    <row r="249" spans="1:7" ht="12.75" customHeight="1" x14ac:dyDescent="0.15">
      <c r="A249" s="390"/>
      <c r="B249" s="368"/>
      <c r="C249" s="46" t="s">
        <v>131</v>
      </c>
      <c r="D249" s="70">
        <v>4.49</v>
      </c>
      <c r="E249" s="252">
        <v>4.99</v>
      </c>
      <c r="F249" s="131">
        <f t="shared" si="0"/>
        <v>5.1896000000000004</v>
      </c>
      <c r="G249" s="251">
        <f t="shared" si="5"/>
        <v>0.11135857461024501</v>
      </c>
    </row>
    <row r="250" spans="1:7" ht="12.75" customHeight="1" x14ac:dyDescent="0.15">
      <c r="A250" s="390"/>
      <c r="B250" s="366"/>
      <c r="C250" s="46" t="s">
        <v>393</v>
      </c>
      <c r="D250" s="70">
        <v>8.99</v>
      </c>
      <c r="E250" s="252">
        <v>9.7899999999999991</v>
      </c>
      <c r="F250" s="131">
        <f t="shared" si="0"/>
        <v>10.1816</v>
      </c>
      <c r="G250" s="251">
        <f t="shared" si="5"/>
        <v>8.8987764182424822E-2</v>
      </c>
    </row>
    <row r="251" spans="1:7" ht="12.75" customHeight="1" x14ac:dyDescent="0.15">
      <c r="A251" s="390"/>
      <c r="B251" s="365" t="s">
        <v>394</v>
      </c>
      <c r="C251" s="46" t="s">
        <v>129</v>
      </c>
      <c r="D251" s="70">
        <v>3.99</v>
      </c>
      <c r="E251" s="252">
        <v>4.29</v>
      </c>
      <c r="F251" s="131">
        <f t="shared" si="0"/>
        <v>4.4615999999999998</v>
      </c>
      <c r="G251" s="251">
        <f t="shared" si="5"/>
        <v>7.5187969924811915E-2</v>
      </c>
    </row>
    <row r="252" spans="1:7" ht="12.75" customHeight="1" x14ac:dyDescent="0.15">
      <c r="A252" s="390"/>
      <c r="B252" s="366"/>
      <c r="C252" s="46" t="s">
        <v>131</v>
      </c>
      <c r="D252" s="70">
        <v>5.79</v>
      </c>
      <c r="E252" s="252">
        <v>5.99</v>
      </c>
      <c r="F252" s="131">
        <f t="shared" si="0"/>
        <v>6.2296000000000005</v>
      </c>
      <c r="G252" s="251">
        <f t="shared" si="5"/>
        <v>3.4542314335060498E-2</v>
      </c>
    </row>
    <row r="253" spans="1:7" ht="12.75" customHeight="1" x14ac:dyDescent="0.15">
      <c r="A253" s="390"/>
      <c r="B253" s="365" t="s">
        <v>395</v>
      </c>
      <c r="C253" s="262" t="s">
        <v>395</v>
      </c>
      <c r="D253" s="151">
        <v>3.89</v>
      </c>
      <c r="E253" s="265"/>
      <c r="F253" s="131">
        <f t="shared" si="0"/>
        <v>0</v>
      </c>
      <c r="G253" s="266"/>
    </row>
    <row r="254" spans="1:7" ht="12.75" customHeight="1" x14ac:dyDescent="0.15">
      <c r="A254" s="390"/>
      <c r="B254" s="368"/>
      <c r="C254" s="42" t="s">
        <v>396</v>
      </c>
      <c r="D254" s="70">
        <v>2.4900000000000002</v>
      </c>
      <c r="E254" s="252">
        <v>2.99</v>
      </c>
      <c r="F254" s="131">
        <f t="shared" si="0"/>
        <v>3.1096000000000004</v>
      </c>
      <c r="G254" s="251">
        <f t="shared" ref="G254:G255" si="6">+(E254/D254)-1</f>
        <v>0.20080321285140568</v>
      </c>
    </row>
    <row r="255" spans="1:7" ht="12.75" customHeight="1" x14ac:dyDescent="0.15">
      <c r="A255" s="390"/>
      <c r="B255" s="368"/>
      <c r="C255" s="42" t="s">
        <v>397</v>
      </c>
      <c r="D255" s="70">
        <v>2.89</v>
      </c>
      <c r="E255" s="252">
        <v>3.39</v>
      </c>
      <c r="F255" s="131">
        <f t="shared" si="0"/>
        <v>3.5256000000000003</v>
      </c>
      <c r="G255" s="251">
        <f t="shared" si="6"/>
        <v>0.17301038062283736</v>
      </c>
    </row>
    <row r="256" spans="1:7" ht="12.75" customHeight="1" x14ac:dyDescent="0.15">
      <c r="A256" s="390"/>
      <c r="B256" s="368"/>
      <c r="C256" s="42" t="s">
        <v>398</v>
      </c>
      <c r="D256" s="70">
        <v>4.59</v>
      </c>
      <c r="E256" s="252">
        <v>4.8899999999999997</v>
      </c>
      <c r="F256" s="131">
        <f t="shared" si="0"/>
        <v>5.0855999999999995</v>
      </c>
      <c r="G256" s="251"/>
    </row>
    <row r="257" spans="1:7" ht="12.75" customHeight="1" x14ac:dyDescent="0.15">
      <c r="A257" s="390"/>
      <c r="B257" s="368"/>
      <c r="C257" s="42" t="s">
        <v>399</v>
      </c>
      <c r="D257" s="70">
        <v>2.29</v>
      </c>
      <c r="E257" s="252">
        <v>2.29</v>
      </c>
      <c r="F257" s="131">
        <f t="shared" ref="F257:F377" si="7">(E257*0.04)+E257</f>
        <v>2.3816000000000002</v>
      </c>
      <c r="G257" s="251">
        <f t="shared" ref="G257:G258" si="8">+(E257/D257)-1</f>
        <v>0</v>
      </c>
    </row>
    <row r="258" spans="1:7" ht="12.75" customHeight="1" x14ac:dyDescent="0.15">
      <c r="A258" s="390"/>
      <c r="B258" s="368"/>
      <c r="C258" s="42" t="s">
        <v>400</v>
      </c>
      <c r="D258" s="70">
        <v>2.29</v>
      </c>
      <c r="E258" s="252">
        <v>2.29</v>
      </c>
      <c r="F258" s="131">
        <f t="shared" si="7"/>
        <v>2.3816000000000002</v>
      </c>
      <c r="G258" s="251">
        <f t="shared" si="8"/>
        <v>0</v>
      </c>
    </row>
    <row r="259" spans="1:7" ht="12.75" customHeight="1" x14ac:dyDescent="0.15">
      <c r="A259" s="391"/>
      <c r="B259" s="378"/>
      <c r="C259" s="268" t="s">
        <v>401</v>
      </c>
      <c r="D259" s="158">
        <v>2.29</v>
      </c>
      <c r="E259" s="265"/>
      <c r="F259" s="131">
        <f t="shared" si="7"/>
        <v>0</v>
      </c>
      <c r="G259" s="251"/>
    </row>
    <row r="260" spans="1:7" ht="12.75" customHeight="1" x14ac:dyDescent="0.15">
      <c r="A260" s="393" t="s">
        <v>402</v>
      </c>
      <c r="B260" s="399" t="s">
        <v>403</v>
      </c>
      <c r="C260" s="61" t="s">
        <v>404</v>
      </c>
      <c r="D260" s="141">
        <v>2.25</v>
      </c>
      <c r="E260" s="269">
        <v>2.29</v>
      </c>
      <c r="F260" s="131">
        <f t="shared" si="7"/>
        <v>2.3816000000000002</v>
      </c>
      <c r="G260" s="251">
        <f t="shared" ref="G260:G377" si="9">+(E260/D260)-1</f>
        <v>1.7777777777777892E-2</v>
      </c>
    </row>
    <row r="261" spans="1:7" ht="12.75" customHeight="1" x14ac:dyDescent="0.15">
      <c r="A261" s="390"/>
      <c r="B261" s="368"/>
      <c r="C261" s="42" t="s">
        <v>405</v>
      </c>
      <c r="D261" s="142">
        <v>2.25</v>
      </c>
      <c r="E261" s="270">
        <v>2.29</v>
      </c>
      <c r="F261" s="131">
        <f t="shared" si="7"/>
        <v>2.3816000000000002</v>
      </c>
      <c r="G261" s="271">
        <f t="shared" si="9"/>
        <v>1.7777777777777892E-2</v>
      </c>
    </row>
    <row r="262" spans="1:7" ht="12.75" customHeight="1" x14ac:dyDescent="0.15">
      <c r="A262" s="390"/>
      <c r="B262" s="368"/>
      <c r="C262" s="42" t="s">
        <v>406</v>
      </c>
      <c r="D262" s="142">
        <v>2.25</v>
      </c>
      <c r="E262" s="270">
        <v>2.29</v>
      </c>
      <c r="F262" s="131">
        <f t="shared" si="7"/>
        <v>2.3816000000000002</v>
      </c>
      <c r="G262" s="271">
        <f t="shared" si="9"/>
        <v>1.7777777777777892E-2</v>
      </c>
    </row>
    <row r="263" spans="1:7" ht="12.75" customHeight="1" x14ac:dyDescent="0.15">
      <c r="A263" s="390"/>
      <c r="B263" s="368"/>
      <c r="C263" s="42" t="s">
        <v>407</v>
      </c>
      <c r="D263" s="142">
        <v>2.25</v>
      </c>
      <c r="E263" s="270">
        <v>2.29</v>
      </c>
      <c r="F263" s="131">
        <f t="shared" si="7"/>
        <v>2.3816000000000002</v>
      </c>
      <c r="G263" s="271">
        <f t="shared" si="9"/>
        <v>1.7777777777777892E-2</v>
      </c>
    </row>
    <row r="264" spans="1:7" ht="12.75" customHeight="1" x14ac:dyDescent="0.15">
      <c r="A264" s="390"/>
      <c r="B264" s="368"/>
      <c r="C264" s="42" t="s">
        <v>750</v>
      </c>
      <c r="D264" s="142">
        <v>2.25</v>
      </c>
      <c r="E264" s="270">
        <v>2.29</v>
      </c>
      <c r="F264" s="131">
        <f t="shared" si="7"/>
        <v>2.3816000000000002</v>
      </c>
      <c r="G264" s="271">
        <f t="shared" si="9"/>
        <v>1.7777777777777892E-2</v>
      </c>
    </row>
    <row r="265" spans="1:7" ht="12.75" customHeight="1" x14ac:dyDescent="0.15">
      <c r="A265" s="390"/>
      <c r="B265" s="368"/>
      <c r="C265" s="42" t="s">
        <v>410</v>
      </c>
      <c r="D265" s="142">
        <v>2.25</v>
      </c>
      <c r="E265" s="270">
        <v>2.29</v>
      </c>
      <c r="F265" s="131">
        <f t="shared" si="7"/>
        <v>2.3816000000000002</v>
      </c>
      <c r="G265" s="271">
        <f t="shared" si="9"/>
        <v>1.7777777777777892E-2</v>
      </c>
    </row>
    <row r="266" spans="1:7" ht="12.75" customHeight="1" x14ac:dyDescent="0.15">
      <c r="A266" s="390"/>
      <c r="B266" s="368"/>
      <c r="C266" s="42" t="s">
        <v>412</v>
      </c>
      <c r="D266" s="142">
        <v>2.25</v>
      </c>
      <c r="E266" s="270">
        <v>2.29</v>
      </c>
      <c r="F266" s="131">
        <f t="shared" si="7"/>
        <v>2.3816000000000002</v>
      </c>
      <c r="G266" s="271">
        <f t="shared" si="9"/>
        <v>1.7777777777777892E-2</v>
      </c>
    </row>
    <row r="267" spans="1:7" ht="12.75" customHeight="1" x14ac:dyDescent="0.15">
      <c r="A267" s="390"/>
      <c r="B267" s="368"/>
      <c r="C267" s="42" t="s">
        <v>413</v>
      </c>
      <c r="D267" s="142">
        <v>2.25</v>
      </c>
      <c r="E267" s="270">
        <v>2.29</v>
      </c>
      <c r="F267" s="131">
        <f t="shared" si="7"/>
        <v>2.3816000000000002</v>
      </c>
      <c r="G267" s="271">
        <f t="shared" si="9"/>
        <v>1.7777777777777892E-2</v>
      </c>
    </row>
    <row r="268" spans="1:7" ht="12.75" customHeight="1" x14ac:dyDescent="0.15">
      <c r="A268" s="390"/>
      <c r="B268" s="366"/>
      <c r="C268" s="42" t="s">
        <v>414</v>
      </c>
      <c r="D268" s="142">
        <v>2.25</v>
      </c>
      <c r="E268" s="270">
        <v>2.29</v>
      </c>
      <c r="F268" s="131">
        <f t="shared" si="7"/>
        <v>2.3816000000000002</v>
      </c>
      <c r="G268" s="271">
        <f t="shared" si="9"/>
        <v>1.7777777777777892E-2</v>
      </c>
    </row>
    <row r="269" spans="1:7" ht="12.75" customHeight="1" x14ac:dyDescent="0.15">
      <c r="A269" s="390"/>
      <c r="B269" s="365" t="s">
        <v>415</v>
      </c>
      <c r="C269" s="42" t="s">
        <v>404</v>
      </c>
      <c r="D269" s="142">
        <v>3.49</v>
      </c>
      <c r="E269" s="142">
        <v>3.49</v>
      </c>
      <c r="F269" s="131">
        <f t="shared" si="7"/>
        <v>3.6296000000000004</v>
      </c>
      <c r="G269" s="271">
        <f t="shared" si="9"/>
        <v>0</v>
      </c>
    </row>
    <row r="270" spans="1:7" ht="12.75" customHeight="1" x14ac:dyDescent="0.15">
      <c r="A270" s="390"/>
      <c r="B270" s="368"/>
      <c r="C270" s="42" t="s">
        <v>405</v>
      </c>
      <c r="D270" s="70">
        <v>3.49</v>
      </c>
      <c r="E270" s="70">
        <v>3.49</v>
      </c>
      <c r="F270" s="131">
        <f t="shared" si="7"/>
        <v>3.6296000000000004</v>
      </c>
      <c r="G270" s="251">
        <f t="shared" si="9"/>
        <v>0</v>
      </c>
    </row>
    <row r="271" spans="1:7" ht="12.75" customHeight="1" x14ac:dyDescent="0.15">
      <c r="A271" s="390"/>
      <c r="B271" s="368"/>
      <c r="C271" s="42" t="s">
        <v>406</v>
      </c>
      <c r="D271" s="70">
        <v>3.49</v>
      </c>
      <c r="E271" s="70">
        <v>3.49</v>
      </c>
      <c r="F271" s="131">
        <f t="shared" si="7"/>
        <v>3.6296000000000004</v>
      </c>
      <c r="G271" s="251">
        <f t="shared" si="9"/>
        <v>0</v>
      </c>
    </row>
    <row r="272" spans="1:7" ht="12.75" customHeight="1" x14ac:dyDescent="0.15">
      <c r="A272" s="390"/>
      <c r="B272" s="366"/>
      <c r="C272" s="42" t="s">
        <v>407</v>
      </c>
      <c r="D272" s="70">
        <v>3.49</v>
      </c>
      <c r="E272" s="70">
        <v>3.49</v>
      </c>
      <c r="F272" s="131">
        <f t="shared" si="7"/>
        <v>3.6296000000000004</v>
      </c>
      <c r="G272" s="251">
        <f t="shared" si="9"/>
        <v>0</v>
      </c>
    </row>
    <row r="273" spans="1:7" ht="12.75" customHeight="1" x14ac:dyDescent="0.15">
      <c r="A273" s="390"/>
      <c r="B273" s="365" t="s">
        <v>417</v>
      </c>
      <c r="C273" s="42" t="s">
        <v>404</v>
      </c>
      <c r="D273" s="70">
        <v>3.99</v>
      </c>
      <c r="E273" s="70">
        <v>3.99</v>
      </c>
      <c r="F273" s="131">
        <f t="shared" si="7"/>
        <v>4.1496000000000004</v>
      </c>
      <c r="G273" s="251">
        <f t="shared" si="9"/>
        <v>0</v>
      </c>
    </row>
    <row r="274" spans="1:7" ht="12.75" customHeight="1" x14ac:dyDescent="0.15">
      <c r="A274" s="390"/>
      <c r="B274" s="368"/>
      <c r="C274" s="42" t="s">
        <v>405</v>
      </c>
      <c r="D274" s="70">
        <v>3.99</v>
      </c>
      <c r="E274" s="70">
        <v>3.99</v>
      </c>
      <c r="F274" s="131">
        <f t="shared" si="7"/>
        <v>4.1496000000000004</v>
      </c>
      <c r="G274" s="251">
        <f t="shared" si="9"/>
        <v>0</v>
      </c>
    </row>
    <row r="275" spans="1:7" ht="12.75" customHeight="1" x14ac:dyDescent="0.15">
      <c r="A275" s="390"/>
      <c r="B275" s="368"/>
      <c r="C275" s="42" t="s">
        <v>407</v>
      </c>
      <c r="D275" s="70">
        <v>3.99</v>
      </c>
      <c r="E275" s="70">
        <v>3.99</v>
      </c>
      <c r="F275" s="131">
        <f t="shared" si="7"/>
        <v>4.1496000000000004</v>
      </c>
      <c r="G275" s="251">
        <f t="shared" si="9"/>
        <v>0</v>
      </c>
    </row>
    <row r="276" spans="1:7" ht="12.75" customHeight="1" x14ac:dyDescent="0.15">
      <c r="A276" s="390"/>
      <c r="B276" s="368"/>
      <c r="C276" s="42" t="s">
        <v>409</v>
      </c>
      <c r="D276" s="70">
        <v>3.99</v>
      </c>
      <c r="E276" s="70">
        <v>3.99</v>
      </c>
      <c r="F276" s="131">
        <f t="shared" si="7"/>
        <v>4.1496000000000004</v>
      </c>
      <c r="G276" s="251">
        <f t="shared" si="9"/>
        <v>0</v>
      </c>
    </row>
    <row r="277" spans="1:7" ht="12.75" customHeight="1" x14ac:dyDescent="0.15">
      <c r="A277" s="390"/>
      <c r="B277" s="366"/>
      <c r="C277" s="42" t="s">
        <v>418</v>
      </c>
      <c r="D277" s="70">
        <v>3.99</v>
      </c>
      <c r="E277" s="70">
        <v>3.99</v>
      </c>
      <c r="F277" s="131">
        <f t="shared" si="7"/>
        <v>4.1496000000000004</v>
      </c>
      <c r="G277" s="251">
        <f t="shared" si="9"/>
        <v>0</v>
      </c>
    </row>
    <row r="278" spans="1:7" ht="12.75" customHeight="1" x14ac:dyDescent="0.15">
      <c r="A278" s="390"/>
      <c r="B278" s="365" t="s">
        <v>419</v>
      </c>
      <c r="C278" s="46" t="s">
        <v>420</v>
      </c>
      <c r="D278" s="70">
        <v>4.49</v>
      </c>
      <c r="E278" s="133">
        <v>4.59</v>
      </c>
      <c r="F278" s="131">
        <f t="shared" si="7"/>
        <v>4.7736000000000001</v>
      </c>
      <c r="G278" s="251">
        <f t="shared" si="9"/>
        <v>2.2271714922048824E-2</v>
      </c>
    </row>
    <row r="279" spans="1:7" ht="12.75" customHeight="1" x14ac:dyDescent="0.15">
      <c r="A279" s="390"/>
      <c r="B279" s="368"/>
      <c r="C279" s="46" t="s">
        <v>131</v>
      </c>
      <c r="D279" s="70">
        <v>5.49</v>
      </c>
      <c r="E279" s="133">
        <v>5.69</v>
      </c>
      <c r="F279" s="131">
        <f t="shared" si="7"/>
        <v>5.9176000000000002</v>
      </c>
      <c r="G279" s="251">
        <f t="shared" si="9"/>
        <v>3.642987249544638E-2</v>
      </c>
    </row>
    <row r="280" spans="1:7" ht="12.75" customHeight="1" x14ac:dyDescent="0.15">
      <c r="A280" s="390"/>
      <c r="B280" s="366"/>
      <c r="C280" s="46" t="s">
        <v>421</v>
      </c>
      <c r="D280" s="70">
        <v>29</v>
      </c>
      <c r="E280" s="133">
        <v>30.99</v>
      </c>
      <c r="F280" s="131">
        <f t="shared" si="7"/>
        <v>32.229599999999998</v>
      </c>
      <c r="G280" s="251">
        <f t="shared" si="9"/>
        <v>6.8620689655172429E-2</v>
      </c>
    </row>
    <row r="281" spans="1:7" ht="12.75" customHeight="1" x14ac:dyDescent="0.15">
      <c r="A281" s="390"/>
      <c r="B281" s="365" t="s">
        <v>422</v>
      </c>
      <c r="C281" s="42" t="s">
        <v>12</v>
      </c>
      <c r="D281" s="159">
        <v>3.99</v>
      </c>
      <c r="E281" s="159">
        <v>3.99</v>
      </c>
      <c r="F281" s="131">
        <f t="shared" si="7"/>
        <v>4.1496000000000004</v>
      </c>
      <c r="G281" s="251">
        <f t="shared" si="9"/>
        <v>0</v>
      </c>
    </row>
    <row r="282" spans="1:7" ht="12.75" customHeight="1" x14ac:dyDescent="0.15">
      <c r="A282" s="390"/>
      <c r="B282" s="368"/>
      <c r="C282" s="42" t="s">
        <v>8</v>
      </c>
      <c r="D282" s="159">
        <v>3.99</v>
      </c>
      <c r="E282" s="159">
        <v>3.99</v>
      </c>
      <c r="F282" s="131">
        <f t="shared" si="7"/>
        <v>4.1496000000000004</v>
      </c>
      <c r="G282" s="251">
        <f t="shared" si="9"/>
        <v>0</v>
      </c>
    </row>
    <row r="283" spans="1:7" ht="12.75" customHeight="1" x14ac:dyDescent="0.15">
      <c r="A283" s="390"/>
      <c r="B283" s="368"/>
      <c r="C283" s="42" t="s">
        <v>15</v>
      </c>
      <c r="D283" s="159">
        <v>3.99</v>
      </c>
      <c r="E283" s="159">
        <v>3.99</v>
      </c>
      <c r="F283" s="131">
        <f t="shared" si="7"/>
        <v>4.1496000000000004</v>
      </c>
      <c r="G283" s="251">
        <f t="shared" si="9"/>
        <v>0</v>
      </c>
    </row>
    <row r="284" spans="1:7" ht="12.75" customHeight="1" x14ac:dyDescent="0.15">
      <c r="A284" s="390"/>
      <c r="B284" s="368"/>
      <c r="C284" s="42" t="s">
        <v>263</v>
      </c>
      <c r="D284" s="159">
        <v>3.99</v>
      </c>
      <c r="E284" s="159">
        <v>3.99</v>
      </c>
      <c r="F284" s="131">
        <f t="shared" si="7"/>
        <v>4.1496000000000004</v>
      </c>
      <c r="G284" s="251">
        <f t="shared" si="9"/>
        <v>0</v>
      </c>
    </row>
    <row r="285" spans="1:7" ht="12.75" customHeight="1" x14ac:dyDescent="0.15">
      <c r="A285" s="390"/>
      <c r="B285" s="368"/>
      <c r="C285" s="42" t="s">
        <v>423</v>
      </c>
      <c r="D285" s="159">
        <v>3.99</v>
      </c>
      <c r="E285" s="159">
        <v>3.99</v>
      </c>
      <c r="F285" s="131">
        <f t="shared" si="7"/>
        <v>4.1496000000000004</v>
      </c>
      <c r="G285" s="251">
        <f t="shared" si="9"/>
        <v>0</v>
      </c>
    </row>
    <row r="286" spans="1:7" ht="12.75" customHeight="1" x14ac:dyDescent="0.15">
      <c r="A286" s="390"/>
      <c r="B286" s="368"/>
      <c r="C286" s="42" t="s">
        <v>266</v>
      </c>
      <c r="D286" s="159">
        <v>3.99</v>
      </c>
      <c r="E286" s="159">
        <v>3.99</v>
      </c>
      <c r="F286" s="131">
        <f t="shared" si="7"/>
        <v>4.1496000000000004</v>
      </c>
      <c r="G286" s="251">
        <f t="shared" si="9"/>
        <v>0</v>
      </c>
    </row>
    <row r="287" spans="1:7" ht="12.75" customHeight="1" x14ac:dyDescent="0.15">
      <c r="A287" s="390"/>
      <c r="B287" s="368"/>
      <c r="C287" s="42" t="s">
        <v>424</v>
      </c>
      <c r="D287" s="159">
        <v>3.99</v>
      </c>
      <c r="E287" s="159">
        <v>3.99</v>
      </c>
      <c r="F287" s="131">
        <f t="shared" si="7"/>
        <v>4.1496000000000004</v>
      </c>
      <c r="G287" s="251">
        <f t="shared" si="9"/>
        <v>0</v>
      </c>
    </row>
    <row r="288" spans="1:7" ht="12.75" customHeight="1" x14ac:dyDescent="0.15">
      <c r="A288" s="390"/>
      <c r="B288" s="366"/>
      <c r="C288" s="42" t="s">
        <v>316</v>
      </c>
      <c r="D288" s="159">
        <v>3.99</v>
      </c>
      <c r="E288" s="159">
        <v>3.99</v>
      </c>
      <c r="F288" s="131">
        <f t="shared" si="7"/>
        <v>4.1496000000000004</v>
      </c>
      <c r="G288" s="251">
        <f t="shared" si="9"/>
        <v>0</v>
      </c>
    </row>
    <row r="289" spans="1:7" ht="12.75" customHeight="1" x14ac:dyDescent="0.15">
      <c r="A289" s="390"/>
      <c r="B289" s="365" t="s">
        <v>425</v>
      </c>
      <c r="C289" s="42" t="s">
        <v>12</v>
      </c>
      <c r="D289" s="159">
        <v>4.99</v>
      </c>
      <c r="E289" s="159">
        <v>4.99</v>
      </c>
      <c r="F289" s="131">
        <f t="shared" si="7"/>
        <v>5.1896000000000004</v>
      </c>
      <c r="G289" s="251">
        <f t="shared" si="9"/>
        <v>0</v>
      </c>
    </row>
    <row r="290" spans="1:7" ht="12.75" customHeight="1" x14ac:dyDescent="0.15">
      <c r="A290" s="390"/>
      <c r="B290" s="368"/>
      <c r="C290" s="42" t="s">
        <v>8</v>
      </c>
      <c r="D290" s="159">
        <v>4.99</v>
      </c>
      <c r="E290" s="159">
        <v>4.99</v>
      </c>
      <c r="F290" s="131">
        <f t="shared" si="7"/>
        <v>5.1896000000000004</v>
      </c>
      <c r="G290" s="251">
        <f t="shared" si="9"/>
        <v>0</v>
      </c>
    </row>
    <row r="291" spans="1:7" ht="12.75" customHeight="1" x14ac:dyDescent="0.15">
      <c r="A291" s="390"/>
      <c r="B291" s="368"/>
      <c r="C291" s="42" t="s">
        <v>15</v>
      </c>
      <c r="D291" s="159">
        <v>4.99</v>
      </c>
      <c r="E291" s="159">
        <v>4.99</v>
      </c>
      <c r="F291" s="131">
        <f t="shared" si="7"/>
        <v>5.1896000000000004</v>
      </c>
      <c r="G291" s="251">
        <f t="shared" si="9"/>
        <v>0</v>
      </c>
    </row>
    <row r="292" spans="1:7" ht="12.75" customHeight="1" x14ac:dyDescent="0.15">
      <c r="A292" s="390"/>
      <c r="B292" s="368"/>
      <c r="C292" s="42" t="s">
        <v>263</v>
      </c>
      <c r="D292" s="159">
        <v>4.99</v>
      </c>
      <c r="E292" s="159">
        <v>4.99</v>
      </c>
      <c r="F292" s="131">
        <f t="shared" si="7"/>
        <v>5.1896000000000004</v>
      </c>
      <c r="G292" s="251">
        <f t="shared" si="9"/>
        <v>0</v>
      </c>
    </row>
    <row r="293" spans="1:7" ht="12.75" customHeight="1" x14ac:dyDescent="0.15">
      <c r="A293" s="390"/>
      <c r="B293" s="368"/>
      <c r="C293" s="42" t="s">
        <v>423</v>
      </c>
      <c r="D293" s="159">
        <v>4.99</v>
      </c>
      <c r="E293" s="159">
        <v>4.99</v>
      </c>
      <c r="F293" s="131">
        <f t="shared" si="7"/>
        <v>5.1896000000000004</v>
      </c>
      <c r="G293" s="251">
        <f t="shared" si="9"/>
        <v>0</v>
      </c>
    </row>
    <row r="294" spans="1:7" ht="12.75" customHeight="1" x14ac:dyDescent="0.15">
      <c r="A294" s="390"/>
      <c r="B294" s="368"/>
      <c r="C294" s="42" t="s">
        <v>266</v>
      </c>
      <c r="D294" s="159">
        <v>4.99</v>
      </c>
      <c r="E294" s="159">
        <v>4.99</v>
      </c>
      <c r="F294" s="131">
        <f t="shared" si="7"/>
        <v>5.1896000000000004</v>
      </c>
      <c r="G294" s="251">
        <f t="shared" si="9"/>
        <v>0</v>
      </c>
    </row>
    <row r="295" spans="1:7" ht="12.75" customHeight="1" x14ac:dyDescent="0.15">
      <c r="A295" s="390"/>
      <c r="B295" s="368"/>
      <c r="C295" s="42" t="s">
        <v>424</v>
      </c>
      <c r="D295" s="159">
        <v>4.99</v>
      </c>
      <c r="E295" s="159">
        <v>4.99</v>
      </c>
      <c r="F295" s="131">
        <f t="shared" si="7"/>
        <v>5.1896000000000004</v>
      </c>
      <c r="G295" s="251">
        <f t="shared" si="9"/>
        <v>0</v>
      </c>
    </row>
    <row r="296" spans="1:7" ht="12.75" customHeight="1" x14ac:dyDescent="0.15">
      <c r="A296" s="390"/>
      <c r="B296" s="366"/>
      <c r="C296" s="42" t="s">
        <v>316</v>
      </c>
      <c r="D296" s="159">
        <v>4.99</v>
      </c>
      <c r="E296" s="159">
        <v>4.99</v>
      </c>
      <c r="F296" s="131">
        <f t="shared" si="7"/>
        <v>5.1896000000000004</v>
      </c>
      <c r="G296" s="251">
        <f t="shared" si="9"/>
        <v>0</v>
      </c>
    </row>
    <row r="297" spans="1:7" ht="12.75" customHeight="1" x14ac:dyDescent="0.15">
      <c r="A297" s="390"/>
      <c r="B297" s="365" t="s">
        <v>426</v>
      </c>
      <c r="C297" s="46" t="s">
        <v>129</v>
      </c>
      <c r="D297" s="70">
        <v>2.99</v>
      </c>
      <c r="E297" s="70">
        <v>2.99</v>
      </c>
      <c r="F297" s="131">
        <f t="shared" si="7"/>
        <v>3.1096000000000004</v>
      </c>
      <c r="G297" s="251">
        <f t="shared" si="9"/>
        <v>0</v>
      </c>
    </row>
    <row r="298" spans="1:7" ht="12.75" customHeight="1" x14ac:dyDescent="0.15">
      <c r="A298" s="390"/>
      <c r="B298" s="366"/>
      <c r="C298" s="46" t="s">
        <v>420</v>
      </c>
      <c r="D298" s="70">
        <v>3.99</v>
      </c>
      <c r="E298" s="70">
        <v>3.99</v>
      </c>
      <c r="F298" s="131">
        <f t="shared" si="7"/>
        <v>4.1496000000000004</v>
      </c>
      <c r="G298" s="251">
        <f t="shared" si="9"/>
        <v>0</v>
      </c>
    </row>
    <row r="299" spans="1:7" ht="12.75" customHeight="1" x14ac:dyDescent="0.15">
      <c r="A299" s="390"/>
      <c r="B299" s="365" t="s">
        <v>751</v>
      </c>
      <c r="C299" s="42" t="s">
        <v>428</v>
      </c>
      <c r="D299" s="70">
        <v>3.99</v>
      </c>
      <c r="E299" s="70">
        <v>3.99</v>
      </c>
      <c r="F299" s="131">
        <f t="shared" si="7"/>
        <v>4.1496000000000004</v>
      </c>
      <c r="G299" s="251">
        <f t="shared" si="9"/>
        <v>0</v>
      </c>
    </row>
    <row r="300" spans="1:7" ht="12.75" customHeight="1" x14ac:dyDescent="0.15">
      <c r="A300" s="390"/>
      <c r="B300" s="368"/>
      <c r="C300" s="42" t="s">
        <v>429</v>
      </c>
      <c r="D300" s="70">
        <v>3.99</v>
      </c>
      <c r="E300" s="70">
        <v>3.99</v>
      </c>
      <c r="F300" s="131">
        <f t="shared" si="7"/>
        <v>4.1496000000000004</v>
      </c>
      <c r="G300" s="251">
        <f t="shared" si="9"/>
        <v>0</v>
      </c>
    </row>
    <row r="301" spans="1:7" ht="12.75" customHeight="1" x14ac:dyDescent="0.15">
      <c r="A301" s="390"/>
      <c r="B301" s="366"/>
      <c r="C301" s="42" t="s">
        <v>430</v>
      </c>
      <c r="D301" s="70">
        <v>3.99</v>
      </c>
      <c r="E301" s="70">
        <v>3.99</v>
      </c>
      <c r="F301" s="131">
        <f t="shared" si="7"/>
        <v>4.1496000000000004</v>
      </c>
      <c r="G301" s="251">
        <f t="shared" si="9"/>
        <v>0</v>
      </c>
    </row>
    <row r="302" spans="1:7" ht="12.75" customHeight="1" x14ac:dyDescent="0.15">
      <c r="A302" s="390"/>
      <c r="B302" s="365" t="s">
        <v>435</v>
      </c>
      <c r="C302" s="42" t="s">
        <v>436</v>
      </c>
      <c r="D302" s="70">
        <v>3.99</v>
      </c>
      <c r="E302" s="70">
        <v>3.99</v>
      </c>
      <c r="F302" s="131">
        <f t="shared" si="7"/>
        <v>4.1496000000000004</v>
      </c>
      <c r="G302" s="251">
        <f t="shared" si="9"/>
        <v>0</v>
      </c>
    </row>
    <row r="303" spans="1:7" ht="12.75" customHeight="1" x14ac:dyDescent="0.15">
      <c r="A303" s="390"/>
      <c r="B303" s="368"/>
      <c r="C303" s="42" t="s">
        <v>437</v>
      </c>
      <c r="D303" s="70">
        <v>3.99</v>
      </c>
      <c r="E303" s="70">
        <v>3.99</v>
      </c>
      <c r="F303" s="131">
        <f t="shared" si="7"/>
        <v>4.1496000000000004</v>
      </c>
      <c r="G303" s="251">
        <f t="shared" si="9"/>
        <v>0</v>
      </c>
    </row>
    <row r="304" spans="1:7" ht="12.75" customHeight="1" x14ac:dyDescent="0.15">
      <c r="A304" s="390"/>
      <c r="B304" s="368"/>
      <c r="C304" s="42" t="s">
        <v>438</v>
      </c>
      <c r="D304" s="70">
        <v>3.99</v>
      </c>
      <c r="E304" s="70">
        <v>3.99</v>
      </c>
      <c r="F304" s="131">
        <f t="shared" si="7"/>
        <v>4.1496000000000004</v>
      </c>
      <c r="G304" s="251">
        <f t="shared" si="9"/>
        <v>0</v>
      </c>
    </row>
    <row r="305" spans="1:7" ht="12.75" customHeight="1" x14ac:dyDescent="0.15">
      <c r="A305" s="390"/>
      <c r="B305" s="366"/>
      <c r="C305" s="42" t="s">
        <v>439</v>
      </c>
      <c r="D305" s="70">
        <v>3.99</v>
      </c>
      <c r="E305" s="70">
        <v>3.99</v>
      </c>
      <c r="F305" s="131">
        <f t="shared" si="7"/>
        <v>4.1496000000000004</v>
      </c>
      <c r="G305" s="251">
        <f t="shared" si="9"/>
        <v>0</v>
      </c>
    </row>
    <row r="306" spans="1:7" ht="12.75" customHeight="1" x14ac:dyDescent="0.15">
      <c r="A306" s="390"/>
      <c r="B306" s="365" t="s">
        <v>440</v>
      </c>
      <c r="C306" s="42" t="s">
        <v>752</v>
      </c>
      <c r="D306" s="70">
        <v>4.6900000000000004</v>
      </c>
      <c r="E306" s="70">
        <v>4.6900000000000004</v>
      </c>
      <c r="F306" s="131">
        <f t="shared" si="7"/>
        <v>4.8776000000000002</v>
      </c>
      <c r="G306" s="251">
        <f t="shared" si="9"/>
        <v>0</v>
      </c>
    </row>
    <row r="307" spans="1:7" ht="12.75" customHeight="1" x14ac:dyDescent="0.15">
      <c r="A307" s="390"/>
      <c r="B307" s="366"/>
      <c r="C307" s="42" t="s">
        <v>753</v>
      </c>
      <c r="D307" s="70">
        <v>4.6900000000000004</v>
      </c>
      <c r="E307" s="70">
        <v>4.6900000000000004</v>
      </c>
      <c r="F307" s="131">
        <f t="shared" si="7"/>
        <v>4.8776000000000002</v>
      </c>
      <c r="G307" s="251">
        <f t="shared" si="9"/>
        <v>0</v>
      </c>
    </row>
    <row r="308" spans="1:7" ht="12.75" customHeight="1" x14ac:dyDescent="0.15">
      <c r="A308" s="390"/>
      <c r="B308" s="365" t="s">
        <v>443</v>
      </c>
      <c r="C308" s="42" t="s">
        <v>444</v>
      </c>
      <c r="D308" s="70">
        <v>3.19</v>
      </c>
      <c r="E308" s="133">
        <v>3.39</v>
      </c>
      <c r="F308" s="131">
        <f t="shared" si="7"/>
        <v>3.5256000000000003</v>
      </c>
      <c r="G308" s="251">
        <f t="shared" si="9"/>
        <v>6.2695924764890387E-2</v>
      </c>
    </row>
    <row r="309" spans="1:7" ht="12.75" customHeight="1" x14ac:dyDescent="0.15">
      <c r="A309" s="390"/>
      <c r="B309" s="366"/>
      <c r="C309" s="42" t="s">
        <v>445</v>
      </c>
      <c r="D309" s="70">
        <v>3.19</v>
      </c>
      <c r="E309" s="133">
        <v>3.39</v>
      </c>
      <c r="F309" s="131">
        <f t="shared" si="7"/>
        <v>3.5256000000000003</v>
      </c>
      <c r="G309" s="251">
        <f t="shared" si="9"/>
        <v>6.2695924764890387E-2</v>
      </c>
    </row>
    <row r="310" spans="1:7" ht="12.75" customHeight="1" x14ac:dyDescent="0.15">
      <c r="A310" s="390"/>
      <c r="B310" s="365" t="s">
        <v>446</v>
      </c>
      <c r="C310" s="42" t="s">
        <v>281</v>
      </c>
      <c r="D310" s="70">
        <v>6.89</v>
      </c>
      <c r="E310" s="142">
        <v>7.49</v>
      </c>
      <c r="F310" s="131">
        <f t="shared" si="7"/>
        <v>7.7896000000000001</v>
      </c>
      <c r="G310" s="251">
        <f t="shared" si="9"/>
        <v>8.7082728592162706E-2</v>
      </c>
    </row>
    <row r="311" spans="1:7" ht="12.75" customHeight="1" x14ac:dyDescent="0.15">
      <c r="A311" s="390"/>
      <c r="B311" s="368"/>
      <c r="C311" s="42" t="s">
        <v>447</v>
      </c>
      <c r="D311" s="70">
        <v>6.89</v>
      </c>
      <c r="E311" s="142">
        <v>7.49</v>
      </c>
      <c r="F311" s="131">
        <f t="shared" si="7"/>
        <v>7.7896000000000001</v>
      </c>
      <c r="G311" s="251">
        <f t="shared" si="9"/>
        <v>8.7082728592162706E-2</v>
      </c>
    </row>
    <row r="312" spans="1:7" ht="12.75" customHeight="1" x14ac:dyDescent="0.15">
      <c r="A312" s="390"/>
      <c r="B312" s="368"/>
      <c r="C312" s="42" t="s">
        <v>448</v>
      </c>
      <c r="D312" s="70">
        <v>6.89</v>
      </c>
      <c r="E312" s="142">
        <v>7.49</v>
      </c>
      <c r="F312" s="131">
        <f t="shared" si="7"/>
        <v>7.7896000000000001</v>
      </c>
      <c r="G312" s="251">
        <f t="shared" si="9"/>
        <v>8.7082728592162706E-2</v>
      </c>
    </row>
    <row r="313" spans="1:7" ht="12.75" customHeight="1" x14ac:dyDescent="0.15">
      <c r="A313" s="390"/>
      <c r="B313" s="368"/>
      <c r="C313" s="42" t="s">
        <v>449</v>
      </c>
      <c r="D313" s="70">
        <v>6.89</v>
      </c>
      <c r="E313" s="142">
        <v>7.49</v>
      </c>
      <c r="F313" s="131">
        <f t="shared" si="7"/>
        <v>7.7896000000000001</v>
      </c>
      <c r="G313" s="251">
        <f t="shared" si="9"/>
        <v>8.7082728592162706E-2</v>
      </c>
    </row>
    <row r="314" spans="1:7" ht="12.75" customHeight="1" x14ac:dyDescent="0.15">
      <c r="A314" s="390"/>
      <c r="B314" s="366"/>
      <c r="C314" s="42" t="s">
        <v>559</v>
      </c>
      <c r="D314" s="70">
        <v>6.89</v>
      </c>
      <c r="E314" s="142">
        <v>7.49</v>
      </c>
      <c r="F314" s="131">
        <f t="shared" si="7"/>
        <v>7.7896000000000001</v>
      </c>
      <c r="G314" s="251">
        <f t="shared" si="9"/>
        <v>8.7082728592162706E-2</v>
      </c>
    </row>
    <row r="315" spans="1:7" ht="12.75" customHeight="1" x14ac:dyDescent="0.15">
      <c r="A315" s="390"/>
      <c r="B315" s="365" t="s">
        <v>452</v>
      </c>
      <c r="C315" s="42" t="s">
        <v>281</v>
      </c>
      <c r="D315" s="70">
        <v>3.99</v>
      </c>
      <c r="E315" s="133">
        <v>3.99</v>
      </c>
      <c r="F315" s="131">
        <f t="shared" si="7"/>
        <v>4.1496000000000004</v>
      </c>
      <c r="G315" s="251">
        <f t="shared" si="9"/>
        <v>0</v>
      </c>
    </row>
    <row r="316" spans="1:7" ht="12.75" customHeight="1" x14ac:dyDescent="0.15">
      <c r="A316" s="390"/>
      <c r="B316" s="368"/>
      <c r="C316" s="42" t="s">
        <v>263</v>
      </c>
      <c r="D316" s="70">
        <v>3.99</v>
      </c>
      <c r="E316" s="133">
        <v>3.99</v>
      </c>
      <c r="F316" s="131">
        <f t="shared" si="7"/>
        <v>4.1496000000000004</v>
      </c>
      <c r="G316" s="251">
        <f t="shared" si="9"/>
        <v>0</v>
      </c>
    </row>
    <row r="317" spans="1:7" ht="12.75" customHeight="1" x14ac:dyDescent="0.15">
      <c r="A317" s="390"/>
      <c r="B317" s="366"/>
      <c r="C317" s="42" t="s">
        <v>310</v>
      </c>
      <c r="D317" s="70">
        <v>3.99</v>
      </c>
      <c r="E317" s="133">
        <v>3.99</v>
      </c>
      <c r="F317" s="131">
        <f t="shared" si="7"/>
        <v>4.1496000000000004</v>
      </c>
      <c r="G317" s="251">
        <f t="shared" si="9"/>
        <v>0</v>
      </c>
    </row>
    <row r="318" spans="1:7" ht="12.75" customHeight="1" x14ac:dyDescent="0.15">
      <c r="A318" s="390"/>
      <c r="B318" s="365" t="s">
        <v>454</v>
      </c>
      <c r="C318" s="42" t="s">
        <v>456</v>
      </c>
      <c r="D318" s="70">
        <v>1.69</v>
      </c>
      <c r="E318" s="142">
        <v>1.69</v>
      </c>
      <c r="F318" s="131">
        <f t="shared" si="7"/>
        <v>1.7576000000000001</v>
      </c>
      <c r="G318" s="251">
        <f t="shared" si="9"/>
        <v>0</v>
      </c>
    </row>
    <row r="319" spans="1:7" ht="12.75" customHeight="1" x14ac:dyDescent="0.15">
      <c r="A319" s="390"/>
      <c r="B319" s="368"/>
      <c r="C319" s="42" t="s">
        <v>457</v>
      </c>
      <c r="D319" s="70">
        <v>2.29</v>
      </c>
      <c r="E319" s="142">
        <v>2.29</v>
      </c>
      <c r="F319" s="131">
        <f t="shared" si="7"/>
        <v>2.3816000000000002</v>
      </c>
      <c r="G319" s="251">
        <f t="shared" si="9"/>
        <v>0</v>
      </c>
    </row>
    <row r="320" spans="1:7" ht="12.75" customHeight="1" x14ac:dyDescent="0.15">
      <c r="A320" s="390"/>
      <c r="B320" s="368"/>
      <c r="C320" s="42" t="s">
        <v>458</v>
      </c>
      <c r="D320" s="70">
        <v>3.99</v>
      </c>
      <c r="E320" s="142">
        <v>3.99</v>
      </c>
      <c r="F320" s="131">
        <f t="shared" si="7"/>
        <v>4.1496000000000004</v>
      </c>
      <c r="G320" s="251">
        <f t="shared" si="9"/>
        <v>0</v>
      </c>
    </row>
    <row r="321" spans="1:7" ht="12.75" customHeight="1" x14ac:dyDescent="0.15">
      <c r="A321" s="391"/>
      <c r="B321" s="378"/>
      <c r="C321" s="78" t="s">
        <v>459</v>
      </c>
      <c r="D321" s="144">
        <v>3.99</v>
      </c>
      <c r="E321" s="155">
        <v>3.99</v>
      </c>
      <c r="F321" s="131">
        <f t="shared" si="7"/>
        <v>4.1496000000000004</v>
      </c>
      <c r="G321" s="251">
        <f t="shared" si="9"/>
        <v>0</v>
      </c>
    </row>
    <row r="322" spans="1:7" ht="12.75" customHeight="1" x14ac:dyDescent="0.15">
      <c r="A322" s="305"/>
      <c r="B322" s="276"/>
      <c r="C322" s="277"/>
      <c r="D322" s="161"/>
      <c r="E322" s="278"/>
      <c r="F322" s="131">
        <f t="shared" si="7"/>
        <v>0</v>
      </c>
      <c r="G322" s="251" t="e">
        <f t="shared" si="9"/>
        <v>#DIV/0!</v>
      </c>
    </row>
    <row r="323" spans="1:7" ht="12.75" customHeight="1" x14ac:dyDescent="0.15">
      <c r="A323" s="193" t="s">
        <v>475</v>
      </c>
      <c r="B323" s="169" t="s">
        <v>476</v>
      </c>
      <c r="C323" s="169" t="s">
        <v>477</v>
      </c>
      <c r="D323" s="162">
        <v>39.99</v>
      </c>
      <c r="E323" s="279">
        <v>42.99</v>
      </c>
      <c r="F323" s="131">
        <f t="shared" si="7"/>
        <v>44.709600000000002</v>
      </c>
      <c r="G323" s="251">
        <f t="shared" si="9"/>
        <v>7.5018754688672251E-2</v>
      </c>
    </row>
    <row r="324" spans="1:7" ht="12.75" customHeight="1" x14ac:dyDescent="0.15">
      <c r="A324" s="306" t="s">
        <v>478</v>
      </c>
      <c r="B324" s="174" t="s">
        <v>476</v>
      </c>
      <c r="C324" s="174" t="s">
        <v>479</v>
      </c>
      <c r="D324" s="163">
        <v>54.99</v>
      </c>
      <c r="E324" s="281">
        <v>56.99</v>
      </c>
      <c r="F324" s="131">
        <f t="shared" si="7"/>
        <v>59.269600000000004</v>
      </c>
      <c r="G324" s="251">
        <f t="shared" si="9"/>
        <v>3.6370249136206567E-2</v>
      </c>
    </row>
    <row r="325" spans="1:7" ht="12.75" customHeight="1" x14ac:dyDescent="0.15">
      <c r="A325" s="306" t="s">
        <v>480</v>
      </c>
      <c r="B325" s="174" t="s">
        <v>476</v>
      </c>
      <c r="C325" s="174" t="s">
        <v>481</v>
      </c>
      <c r="D325" s="163">
        <v>69.989999999999995</v>
      </c>
      <c r="E325" s="281">
        <v>69.989999999999995</v>
      </c>
      <c r="F325" s="131">
        <f t="shared" si="7"/>
        <v>72.789599999999993</v>
      </c>
      <c r="G325" s="251">
        <f t="shared" si="9"/>
        <v>0</v>
      </c>
    </row>
    <row r="326" spans="1:7" ht="12.75" customHeight="1" x14ac:dyDescent="0.15">
      <c r="A326" s="306" t="s">
        <v>482</v>
      </c>
      <c r="B326" s="174" t="s">
        <v>476</v>
      </c>
      <c r="C326" s="174" t="s">
        <v>483</v>
      </c>
      <c r="D326" s="163">
        <v>149.99</v>
      </c>
      <c r="E326" s="281">
        <v>149.99</v>
      </c>
      <c r="F326" s="131">
        <f t="shared" si="7"/>
        <v>155.9896</v>
      </c>
      <c r="G326" s="251">
        <f t="shared" si="9"/>
        <v>0</v>
      </c>
    </row>
    <row r="327" spans="1:7" ht="12.75" customHeight="1" x14ac:dyDescent="0.15">
      <c r="A327" s="306" t="s">
        <v>484</v>
      </c>
      <c r="B327" s="174" t="s">
        <v>476</v>
      </c>
      <c r="C327" s="174" t="s">
        <v>485</v>
      </c>
      <c r="D327" s="163">
        <v>229.99</v>
      </c>
      <c r="E327" s="281">
        <v>229.99</v>
      </c>
      <c r="F327" s="131">
        <f t="shared" si="7"/>
        <v>239.18960000000001</v>
      </c>
      <c r="G327" s="251">
        <f t="shared" si="9"/>
        <v>0</v>
      </c>
    </row>
    <row r="328" spans="1:7" ht="12.75" customHeight="1" x14ac:dyDescent="0.15">
      <c r="A328" s="306" t="s">
        <v>486</v>
      </c>
      <c r="B328" s="174" t="s">
        <v>476</v>
      </c>
      <c r="C328" s="174" t="s">
        <v>487</v>
      </c>
      <c r="D328" s="163">
        <v>219.99</v>
      </c>
      <c r="E328" s="281">
        <v>209.99</v>
      </c>
      <c r="F328" s="131">
        <f t="shared" si="7"/>
        <v>218.3896</v>
      </c>
      <c r="G328" s="251">
        <f t="shared" si="9"/>
        <v>-4.5456611664166591E-2</v>
      </c>
    </row>
    <row r="329" spans="1:7" ht="12.75" customHeight="1" x14ac:dyDescent="0.15">
      <c r="A329" s="306" t="s">
        <v>488</v>
      </c>
      <c r="B329" s="174" t="s">
        <v>476</v>
      </c>
      <c r="C329" s="174" t="s">
        <v>489</v>
      </c>
      <c r="D329" s="163">
        <v>299.99</v>
      </c>
      <c r="E329" s="281">
        <v>299.99</v>
      </c>
      <c r="F329" s="131">
        <f t="shared" si="7"/>
        <v>311.9896</v>
      </c>
      <c r="G329" s="251">
        <f t="shared" si="9"/>
        <v>0</v>
      </c>
    </row>
    <row r="330" spans="1:7" ht="12.75" customHeight="1" x14ac:dyDescent="0.15">
      <c r="A330" s="306" t="s">
        <v>490</v>
      </c>
      <c r="B330" s="174" t="s">
        <v>476</v>
      </c>
      <c r="C330" s="174" t="s">
        <v>491</v>
      </c>
      <c r="D330" s="163">
        <v>399.99</v>
      </c>
      <c r="E330" s="281">
        <v>399.99</v>
      </c>
      <c r="F330" s="131">
        <f t="shared" si="7"/>
        <v>415.9896</v>
      </c>
      <c r="G330" s="251">
        <f t="shared" si="9"/>
        <v>0</v>
      </c>
    </row>
    <row r="331" spans="1:7" ht="12.75" customHeight="1" x14ac:dyDescent="0.15">
      <c r="A331" s="306" t="s">
        <v>492</v>
      </c>
      <c r="B331" s="174" t="s">
        <v>493</v>
      </c>
      <c r="C331" s="174" t="s">
        <v>494</v>
      </c>
      <c r="D331" s="163">
        <v>44.99</v>
      </c>
      <c r="E331" s="281">
        <v>47.99</v>
      </c>
      <c r="F331" s="131">
        <f t="shared" si="7"/>
        <v>49.909600000000005</v>
      </c>
      <c r="G331" s="251">
        <f t="shared" si="9"/>
        <v>6.6681484774394395E-2</v>
      </c>
    </row>
    <row r="332" spans="1:7" ht="12.75" customHeight="1" x14ac:dyDescent="0.15">
      <c r="A332" s="306" t="s">
        <v>495</v>
      </c>
      <c r="B332" s="174" t="s">
        <v>493</v>
      </c>
      <c r="C332" s="174" t="s">
        <v>496</v>
      </c>
      <c r="D332" s="163">
        <v>89.99</v>
      </c>
      <c r="E332" s="281">
        <v>89.99</v>
      </c>
      <c r="F332" s="131">
        <f t="shared" si="7"/>
        <v>93.58959999999999</v>
      </c>
      <c r="G332" s="251">
        <f t="shared" si="9"/>
        <v>0</v>
      </c>
    </row>
    <row r="333" spans="1:7" ht="12.75" customHeight="1" x14ac:dyDescent="0.15">
      <c r="A333" s="306" t="s">
        <v>497</v>
      </c>
      <c r="B333" s="174" t="s">
        <v>493</v>
      </c>
      <c r="C333" s="174" t="s">
        <v>498</v>
      </c>
      <c r="D333" s="163">
        <v>144.99</v>
      </c>
      <c r="E333" s="281">
        <v>144.99</v>
      </c>
      <c r="F333" s="131">
        <f t="shared" si="7"/>
        <v>150.78960000000001</v>
      </c>
      <c r="G333" s="251">
        <f t="shared" si="9"/>
        <v>0</v>
      </c>
    </row>
    <row r="334" spans="1:7" ht="12.75" customHeight="1" x14ac:dyDescent="0.15">
      <c r="A334" s="306" t="s">
        <v>499</v>
      </c>
      <c r="B334" s="174" t="s">
        <v>493</v>
      </c>
      <c r="C334" s="174" t="s">
        <v>500</v>
      </c>
      <c r="D334" s="163">
        <v>144.99</v>
      </c>
      <c r="E334" s="281">
        <v>144.99</v>
      </c>
      <c r="F334" s="131">
        <f t="shared" si="7"/>
        <v>150.78960000000001</v>
      </c>
      <c r="G334" s="251">
        <f t="shared" si="9"/>
        <v>0</v>
      </c>
    </row>
    <row r="335" spans="1:7" ht="12.75" customHeight="1" x14ac:dyDescent="0.15">
      <c r="A335" s="422" t="s">
        <v>501</v>
      </c>
      <c r="B335" s="174" t="s">
        <v>502</v>
      </c>
      <c r="C335" s="174" t="s">
        <v>503</v>
      </c>
      <c r="D335" s="163">
        <v>13.49</v>
      </c>
      <c r="E335" s="281">
        <v>13.99</v>
      </c>
      <c r="F335" s="131">
        <f t="shared" si="7"/>
        <v>14.5496</v>
      </c>
      <c r="G335" s="251">
        <f t="shared" si="9"/>
        <v>3.706449221645669E-2</v>
      </c>
    </row>
    <row r="336" spans="1:7" ht="12.75" customHeight="1" x14ac:dyDescent="0.15">
      <c r="A336" s="387"/>
      <c r="B336" s="174" t="s">
        <v>502</v>
      </c>
      <c r="C336" s="174" t="s">
        <v>504</v>
      </c>
      <c r="D336" s="163">
        <v>12.49</v>
      </c>
      <c r="E336" s="281">
        <v>12.99</v>
      </c>
      <c r="F336" s="131">
        <f t="shared" si="7"/>
        <v>13.509600000000001</v>
      </c>
      <c r="G336" s="251">
        <f t="shared" si="9"/>
        <v>4.0032025620496459E-2</v>
      </c>
    </row>
    <row r="337" spans="1:7" ht="12.75" customHeight="1" x14ac:dyDescent="0.15">
      <c r="A337" s="387"/>
      <c r="B337" s="174" t="s">
        <v>502</v>
      </c>
      <c r="C337" s="174" t="s">
        <v>505</v>
      </c>
      <c r="D337" s="163">
        <v>12.49</v>
      </c>
      <c r="E337" s="281">
        <v>12.99</v>
      </c>
      <c r="F337" s="131">
        <f t="shared" si="7"/>
        <v>13.509600000000001</v>
      </c>
      <c r="G337" s="251">
        <f t="shared" si="9"/>
        <v>4.0032025620496459E-2</v>
      </c>
    </row>
    <row r="338" spans="1:7" ht="12.75" customHeight="1" x14ac:dyDescent="0.15">
      <c r="A338" s="387"/>
      <c r="B338" s="174" t="s">
        <v>502</v>
      </c>
      <c r="C338" s="174" t="s">
        <v>506</v>
      </c>
      <c r="D338" s="163">
        <v>13.49</v>
      </c>
      <c r="E338" s="281">
        <v>13.99</v>
      </c>
      <c r="F338" s="131">
        <f t="shared" si="7"/>
        <v>14.5496</v>
      </c>
      <c r="G338" s="251">
        <f t="shared" si="9"/>
        <v>3.706449221645669E-2</v>
      </c>
    </row>
    <row r="339" spans="1:7" ht="12.75" customHeight="1" x14ac:dyDescent="0.15">
      <c r="A339" s="387"/>
      <c r="B339" s="174" t="s">
        <v>502</v>
      </c>
      <c r="C339" s="177" t="s">
        <v>507</v>
      </c>
      <c r="D339" s="176">
        <v>13.49</v>
      </c>
      <c r="E339" s="282">
        <v>13.99</v>
      </c>
      <c r="F339" s="131">
        <f t="shared" si="7"/>
        <v>14.5496</v>
      </c>
      <c r="G339" s="251">
        <f t="shared" si="9"/>
        <v>3.706449221645669E-2</v>
      </c>
    </row>
    <row r="340" spans="1:7" ht="12.75" customHeight="1" x14ac:dyDescent="0.15">
      <c r="A340" s="387"/>
      <c r="B340" s="174" t="s">
        <v>502</v>
      </c>
      <c r="C340" s="177" t="s">
        <v>17</v>
      </c>
      <c r="D340" s="176">
        <v>13.49</v>
      </c>
      <c r="E340" s="282">
        <v>13.99</v>
      </c>
      <c r="F340" s="131">
        <f t="shared" si="7"/>
        <v>14.5496</v>
      </c>
      <c r="G340" s="251">
        <f t="shared" si="9"/>
        <v>3.706449221645669E-2</v>
      </c>
    </row>
    <row r="341" spans="1:7" ht="12.75" customHeight="1" x14ac:dyDescent="0.15">
      <c r="A341" s="387"/>
      <c r="B341" s="174" t="s">
        <v>502</v>
      </c>
      <c r="C341" s="177" t="s">
        <v>10</v>
      </c>
      <c r="D341" s="176">
        <v>13.49</v>
      </c>
      <c r="E341" s="282">
        <v>13.99</v>
      </c>
      <c r="F341" s="131">
        <f t="shared" si="7"/>
        <v>14.5496</v>
      </c>
      <c r="G341" s="251">
        <f t="shared" si="9"/>
        <v>3.706449221645669E-2</v>
      </c>
    </row>
    <row r="342" spans="1:7" ht="12.75" customHeight="1" x14ac:dyDescent="0.15">
      <c r="A342" s="387"/>
      <c r="B342" s="174" t="s">
        <v>502</v>
      </c>
      <c r="C342" s="174" t="s">
        <v>508</v>
      </c>
      <c r="D342" s="163">
        <v>12.49</v>
      </c>
      <c r="E342" s="281">
        <v>12.99</v>
      </c>
      <c r="F342" s="131">
        <f t="shared" si="7"/>
        <v>13.509600000000001</v>
      </c>
      <c r="G342" s="251">
        <f t="shared" si="9"/>
        <v>4.0032025620496459E-2</v>
      </c>
    </row>
    <row r="343" spans="1:7" ht="12.75" customHeight="1" x14ac:dyDescent="0.15">
      <c r="A343" s="387"/>
      <c r="B343" s="174" t="s">
        <v>502</v>
      </c>
      <c r="C343" s="174" t="s">
        <v>927</v>
      </c>
      <c r="D343" s="163">
        <v>12.49</v>
      </c>
      <c r="E343" s="281">
        <v>12.99</v>
      </c>
      <c r="F343" s="131">
        <f t="shared" si="7"/>
        <v>13.509600000000001</v>
      </c>
      <c r="G343" s="251">
        <f t="shared" si="9"/>
        <v>4.0032025620496459E-2</v>
      </c>
    </row>
    <row r="344" spans="1:7" ht="12.75" customHeight="1" x14ac:dyDescent="0.15">
      <c r="A344" s="387"/>
      <c r="B344" s="174" t="s">
        <v>502</v>
      </c>
      <c r="C344" s="174" t="s">
        <v>928</v>
      </c>
      <c r="D344" s="163">
        <v>12.49</v>
      </c>
      <c r="E344" s="281">
        <v>12.99</v>
      </c>
      <c r="F344" s="131">
        <f t="shared" si="7"/>
        <v>13.509600000000001</v>
      </c>
      <c r="G344" s="251">
        <f t="shared" si="9"/>
        <v>4.0032025620496459E-2</v>
      </c>
    </row>
    <row r="345" spans="1:7" ht="12.75" customHeight="1" x14ac:dyDescent="0.15">
      <c r="A345" s="387"/>
      <c r="B345" s="174" t="s">
        <v>502</v>
      </c>
      <c r="C345" s="174" t="s">
        <v>510</v>
      </c>
      <c r="D345" s="163">
        <v>13.49</v>
      </c>
      <c r="E345" s="281">
        <v>13.99</v>
      </c>
      <c r="F345" s="131">
        <f t="shared" si="7"/>
        <v>14.5496</v>
      </c>
      <c r="G345" s="251">
        <f t="shared" si="9"/>
        <v>3.706449221645669E-2</v>
      </c>
    </row>
    <row r="346" spans="1:7" ht="12.75" customHeight="1" x14ac:dyDescent="0.15">
      <c r="A346" s="387"/>
      <c r="B346" s="174" t="s">
        <v>502</v>
      </c>
      <c r="C346" s="174" t="s">
        <v>511</v>
      </c>
      <c r="D346" s="163">
        <v>12.49</v>
      </c>
      <c r="E346" s="281">
        <v>12.99</v>
      </c>
      <c r="F346" s="131">
        <f t="shared" si="7"/>
        <v>13.509600000000001</v>
      </c>
      <c r="G346" s="251">
        <f t="shared" si="9"/>
        <v>4.0032025620496459E-2</v>
      </c>
    </row>
    <row r="347" spans="1:7" ht="12.75" customHeight="1" x14ac:dyDescent="0.15">
      <c r="A347" s="387"/>
      <c r="B347" s="174" t="s">
        <v>502</v>
      </c>
      <c r="C347" s="174" t="s">
        <v>512</v>
      </c>
      <c r="D347" s="163">
        <v>13.49</v>
      </c>
      <c r="E347" s="281">
        <v>13.99</v>
      </c>
      <c r="F347" s="131">
        <f t="shared" si="7"/>
        <v>14.5496</v>
      </c>
      <c r="G347" s="251">
        <f t="shared" si="9"/>
        <v>3.706449221645669E-2</v>
      </c>
    </row>
    <row r="348" spans="1:7" ht="12.75" customHeight="1" x14ac:dyDescent="0.15">
      <c r="A348" s="387"/>
      <c r="B348" s="174" t="s">
        <v>502</v>
      </c>
      <c r="C348" s="174" t="s">
        <v>514</v>
      </c>
      <c r="D348" s="163">
        <v>19.489999999999998</v>
      </c>
      <c r="E348" s="281">
        <v>19.989999999999998</v>
      </c>
      <c r="F348" s="131">
        <f t="shared" si="7"/>
        <v>20.7896</v>
      </c>
      <c r="G348" s="251">
        <f t="shared" si="9"/>
        <v>2.5654181631606043E-2</v>
      </c>
    </row>
    <row r="349" spans="1:7" ht="12.75" customHeight="1" x14ac:dyDescent="0.15">
      <c r="A349" s="387"/>
      <c r="B349" s="174" t="s">
        <v>502</v>
      </c>
      <c r="C349" s="174" t="s">
        <v>515</v>
      </c>
      <c r="D349" s="163">
        <v>17.989999999999998</v>
      </c>
      <c r="E349" s="281">
        <v>18.989999999999998</v>
      </c>
      <c r="F349" s="131">
        <f t="shared" si="7"/>
        <v>19.749599999999997</v>
      </c>
      <c r="G349" s="251">
        <f t="shared" si="9"/>
        <v>5.5586436909394132E-2</v>
      </c>
    </row>
    <row r="350" spans="1:7" ht="12.75" customHeight="1" x14ac:dyDescent="0.15">
      <c r="A350" s="387"/>
      <c r="B350" s="174" t="s">
        <v>502</v>
      </c>
      <c r="C350" s="174" t="s">
        <v>758</v>
      </c>
      <c r="D350" s="163">
        <v>22.99</v>
      </c>
      <c r="E350" s="281">
        <v>22.99</v>
      </c>
      <c r="F350" s="131">
        <f t="shared" si="7"/>
        <v>23.909599999999998</v>
      </c>
      <c r="G350" s="251">
        <f t="shared" si="9"/>
        <v>0</v>
      </c>
    </row>
    <row r="351" spans="1:7" ht="12.75" customHeight="1" x14ac:dyDescent="0.15">
      <c r="A351" s="387"/>
      <c r="B351" s="174" t="s">
        <v>502</v>
      </c>
      <c r="C351" s="174" t="s">
        <v>759</v>
      </c>
      <c r="D351" s="163">
        <v>22.99</v>
      </c>
      <c r="E351" s="281">
        <v>22.99</v>
      </c>
      <c r="F351" s="131">
        <f t="shared" si="7"/>
        <v>23.909599999999998</v>
      </c>
      <c r="G351" s="251">
        <f t="shared" si="9"/>
        <v>0</v>
      </c>
    </row>
    <row r="352" spans="1:7" ht="12.75" customHeight="1" x14ac:dyDescent="0.15">
      <c r="A352" s="387"/>
      <c r="B352" s="174" t="s">
        <v>519</v>
      </c>
      <c r="C352" s="174" t="s">
        <v>79</v>
      </c>
      <c r="D352" s="163">
        <v>11.49</v>
      </c>
      <c r="E352" s="281">
        <v>11.99</v>
      </c>
      <c r="F352" s="131">
        <f t="shared" si="7"/>
        <v>12.4696</v>
      </c>
      <c r="G352" s="251">
        <f t="shared" si="9"/>
        <v>4.3516100957354142E-2</v>
      </c>
    </row>
    <row r="353" spans="1:7" ht="12.75" customHeight="1" x14ac:dyDescent="0.15">
      <c r="A353" s="387"/>
      <c r="B353" s="174" t="s">
        <v>519</v>
      </c>
      <c r="C353" s="174" t="s">
        <v>522</v>
      </c>
      <c r="D353" s="180">
        <v>16.989999999999998</v>
      </c>
      <c r="E353" s="180">
        <v>16.989999999999998</v>
      </c>
      <c r="F353" s="131">
        <f t="shared" si="7"/>
        <v>17.669599999999999</v>
      </c>
      <c r="G353" s="251">
        <f t="shared" si="9"/>
        <v>0</v>
      </c>
    </row>
    <row r="354" spans="1:7" ht="12.75" customHeight="1" x14ac:dyDescent="0.15">
      <c r="A354" s="387"/>
      <c r="B354" s="174" t="s">
        <v>27</v>
      </c>
      <c r="C354" s="174" t="s">
        <v>18</v>
      </c>
      <c r="D354" s="180">
        <v>19.489999999999998</v>
      </c>
      <c r="E354" s="180">
        <v>19.989999999999998</v>
      </c>
      <c r="F354" s="131">
        <f t="shared" si="7"/>
        <v>20.7896</v>
      </c>
      <c r="G354" s="251">
        <f t="shared" si="9"/>
        <v>2.5654181631606043E-2</v>
      </c>
    </row>
    <row r="355" spans="1:7" ht="12.75" customHeight="1" x14ac:dyDescent="0.15">
      <c r="A355" s="387"/>
      <c r="B355" s="174" t="s">
        <v>27</v>
      </c>
      <c r="C355" s="174" t="s">
        <v>57</v>
      </c>
      <c r="D355" s="180">
        <v>19.489999999999998</v>
      </c>
      <c r="E355" s="180">
        <v>19.989999999999998</v>
      </c>
      <c r="F355" s="131">
        <f t="shared" si="7"/>
        <v>20.7896</v>
      </c>
      <c r="G355" s="251">
        <f t="shared" si="9"/>
        <v>2.5654181631606043E-2</v>
      </c>
    </row>
    <row r="356" spans="1:7" ht="12.75" customHeight="1" x14ac:dyDescent="0.15">
      <c r="A356" s="387"/>
      <c r="B356" s="174" t="s">
        <v>27</v>
      </c>
      <c r="C356" s="174" t="s">
        <v>8</v>
      </c>
      <c r="D356" s="180">
        <v>19.489999999999998</v>
      </c>
      <c r="E356" s="180">
        <v>19.989999999999998</v>
      </c>
      <c r="F356" s="131">
        <f t="shared" si="7"/>
        <v>20.7896</v>
      </c>
      <c r="G356" s="251">
        <f t="shared" si="9"/>
        <v>2.5654181631606043E-2</v>
      </c>
    </row>
    <row r="357" spans="1:7" ht="12.75" customHeight="1" x14ac:dyDescent="0.15">
      <c r="A357" s="387"/>
      <c r="B357" s="174" t="s">
        <v>524</v>
      </c>
      <c r="C357" s="174" t="s">
        <v>18</v>
      </c>
      <c r="D357" s="180">
        <v>29.99</v>
      </c>
      <c r="E357" s="180">
        <v>29.99</v>
      </c>
      <c r="F357" s="131">
        <f t="shared" si="7"/>
        <v>31.189599999999999</v>
      </c>
      <c r="G357" s="251">
        <f t="shared" si="9"/>
        <v>0</v>
      </c>
    </row>
    <row r="358" spans="1:7" ht="12.75" customHeight="1" x14ac:dyDescent="0.15">
      <c r="A358" s="387"/>
      <c r="B358" s="174" t="s">
        <v>524</v>
      </c>
      <c r="C358" s="174" t="s">
        <v>37</v>
      </c>
      <c r="D358" s="180">
        <v>29.99</v>
      </c>
      <c r="E358" s="180">
        <v>29.99</v>
      </c>
      <c r="F358" s="131">
        <f t="shared" si="7"/>
        <v>31.189599999999999</v>
      </c>
      <c r="G358" s="251">
        <f t="shared" si="9"/>
        <v>0</v>
      </c>
    </row>
    <row r="359" spans="1:7" ht="12.75" customHeight="1" x14ac:dyDescent="0.15">
      <c r="A359" s="387"/>
      <c r="B359" s="174" t="s">
        <v>525</v>
      </c>
      <c r="C359" s="174" t="s">
        <v>760</v>
      </c>
      <c r="D359" s="180">
        <v>21.99</v>
      </c>
      <c r="E359" s="180">
        <v>22.99</v>
      </c>
      <c r="F359" s="131">
        <f t="shared" si="7"/>
        <v>23.909599999999998</v>
      </c>
      <c r="G359" s="251">
        <f t="shared" si="9"/>
        <v>4.5475216007275998E-2</v>
      </c>
    </row>
    <row r="360" spans="1:7" ht="12.75" customHeight="1" x14ac:dyDescent="0.15">
      <c r="A360" s="387"/>
      <c r="B360" s="174" t="s">
        <v>525</v>
      </c>
      <c r="C360" s="174" t="s">
        <v>20</v>
      </c>
      <c r="D360" s="180">
        <v>21.99</v>
      </c>
      <c r="E360" s="180">
        <v>22.99</v>
      </c>
      <c r="F360" s="131">
        <f t="shared" si="7"/>
        <v>23.909599999999998</v>
      </c>
      <c r="G360" s="251">
        <f t="shared" si="9"/>
        <v>4.5475216007275998E-2</v>
      </c>
    </row>
    <row r="361" spans="1:7" ht="12.75" customHeight="1" x14ac:dyDescent="0.15">
      <c r="A361" s="387"/>
      <c r="B361" s="307" t="s">
        <v>526</v>
      </c>
      <c r="C361" s="307" t="s">
        <v>527</v>
      </c>
      <c r="D361" s="181">
        <v>0</v>
      </c>
      <c r="E361" s="181">
        <v>18.989999999999998</v>
      </c>
      <c r="F361" s="131">
        <f t="shared" si="7"/>
        <v>19.749599999999997</v>
      </c>
      <c r="G361" s="251" t="e">
        <f t="shared" si="9"/>
        <v>#DIV/0!</v>
      </c>
    </row>
    <row r="362" spans="1:7" ht="12.75" customHeight="1" x14ac:dyDescent="0.15">
      <c r="A362" s="387"/>
      <c r="B362" s="174" t="s">
        <v>528</v>
      </c>
      <c r="C362" s="174" t="s">
        <v>529</v>
      </c>
      <c r="D362" s="180">
        <v>13.99</v>
      </c>
      <c r="E362" s="180">
        <v>13.99</v>
      </c>
      <c r="F362" s="131">
        <f t="shared" si="7"/>
        <v>14.5496</v>
      </c>
      <c r="G362" s="251">
        <f t="shared" si="9"/>
        <v>0</v>
      </c>
    </row>
    <row r="363" spans="1:7" ht="12.75" customHeight="1" x14ac:dyDescent="0.15">
      <c r="A363" s="387"/>
      <c r="B363" s="174" t="s">
        <v>528</v>
      </c>
      <c r="C363" s="174" t="s">
        <v>530</v>
      </c>
      <c r="D363" s="180">
        <v>18.29</v>
      </c>
      <c r="E363" s="180">
        <v>18.989999999999998</v>
      </c>
      <c r="F363" s="131">
        <f t="shared" si="7"/>
        <v>19.749599999999997</v>
      </c>
      <c r="G363" s="251">
        <f t="shared" si="9"/>
        <v>3.8272279934390419E-2</v>
      </c>
    </row>
    <row r="364" spans="1:7" ht="12.75" customHeight="1" x14ac:dyDescent="0.15">
      <c r="A364" s="387"/>
      <c r="B364" s="174" t="s">
        <v>531</v>
      </c>
      <c r="C364" s="174" t="s">
        <v>36</v>
      </c>
      <c r="D364" s="180">
        <v>20.99</v>
      </c>
      <c r="E364" s="180">
        <v>21.99</v>
      </c>
      <c r="F364" s="131">
        <f t="shared" si="7"/>
        <v>22.869599999999998</v>
      </c>
      <c r="G364" s="251">
        <f t="shared" si="9"/>
        <v>4.7641734159123317E-2</v>
      </c>
    </row>
    <row r="365" spans="1:7" ht="12.75" customHeight="1" x14ac:dyDescent="0.15">
      <c r="A365" s="387"/>
      <c r="B365" s="174" t="s">
        <v>531</v>
      </c>
      <c r="C365" s="174" t="s">
        <v>10</v>
      </c>
      <c r="D365" s="180">
        <v>20.99</v>
      </c>
      <c r="E365" s="180">
        <v>21.99</v>
      </c>
      <c r="F365" s="131">
        <f t="shared" si="7"/>
        <v>22.869599999999998</v>
      </c>
      <c r="G365" s="251">
        <f t="shared" si="9"/>
        <v>4.7641734159123317E-2</v>
      </c>
    </row>
    <row r="366" spans="1:7" ht="12.75" customHeight="1" x14ac:dyDescent="0.15">
      <c r="A366" s="387"/>
      <c r="B366" s="174" t="s">
        <v>532</v>
      </c>
      <c r="C366" s="174" t="s">
        <v>194</v>
      </c>
      <c r="D366" s="180">
        <v>32.99</v>
      </c>
      <c r="E366" s="180">
        <v>34.99</v>
      </c>
      <c r="F366" s="131">
        <f t="shared" si="7"/>
        <v>36.389600000000002</v>
      </c>
      <c r="G366" s="251">
        <f t="shared" si="9"/>
        <v>6.0624431645953214E-2</v>
      </c>
    </row>
    <row r="367" spans="1:7" ht="12.75" customHeight="1" x14ac:dyDescent="0.15">
      <c r="A367" s="387"/>
      <c r="B367" s="174" t="s">
        <v>532</v>
      </c>
      <c r="C367" s="174" t="s">
        <v>159</v>
      </c>
      <c r="D367" s="180">
        <v>32.99</v>
      </c>
      <c r="E367" s="180">
        <v>34.99</v>
      </c>
      <c r="F367" s="131">
        <f t="shared" si="7"/>
        <v>36.389600000000002</v>
      </c>
      <c r="G367" s="251">
        <f t="shared" si="9"/>
        <v>6.0624431645953214E-2</v>
      </c>
    </row>
    <row r="368" spans="1:7" ht="12.75" customHeight="1" x14ac:dyDescent="0.15">
      <c r="A368" s="387"/>
      <c r="B368" s="174" t="s">
        <v>532</v>
      </c>
      <c r="C368" s="174" t="s">
        <v>534</v>
      </c>
      <c r="D368" s="180">
        <v>14.99</v>
      </c>
      <c r="E368" s="180">
        <v>14.99</v>
      </c>
      <c r="F368" s="131">
        <f t="shared" si="7"/>
        <v>15.589600000000001</v>
      </c>
      <c r="G368" s="251">
        <f t="shared" si="9"/>
        <v>0</v>
      </c>
    </row>
    <row r="369" spans="1:7" ht="12.75" customHeight="1" x14ac:dyDescent="0.15">
      <c r="A369" s="387"/>
      <c r="B369" s="174" t="s">
        <v>532</v>
      </c>
      <c r="C369" s="174" t="s">
        <v>535</v>
      </c>
      <c r="D369" s="180">
        <v>12.69</v>
      </c>
      <c r="E369" s="180">
        <v>12.69</v>
      </c>
      <c r="F369" s="131">
        <f t="shared" si="7"/>
        <v>13.1976</v>
      </c>
      <c r="G369" s="251">
        <f t="shared" si="9"/>
        <v>0</v>
      </c>
    </row>
    <row r="370" spans="1:7" ht="12.75" customHeight="1" x14ac:dyDescent="0.15">
      <c r="A370" s="387"/>
      <c r="B370" s="174" t="s">
        <v>532</v>
      </c>
      <c r="C370" s="174" t="s">
        <v>536</v>
      </c>
      <c r="D370" s="180">
        <v>18.29</v>
      </c>
      <c r="E370" s="180">
        <v>18.989999999999998</v>
      </c>
      <c r="F370" s="131">
        <f t="shared" si="7"/>
        <v>19.749599999999997</v>
      </c>
      <c r="G370" s="251">
        <f t="shared" si="9"/>
        <v>3.8272279934390419E-2</v>
      </c>
    </row>
    <row r="371" spans="1:7" ht="12.75" customHeight="1" x14ac:dyDescent="0.15">
      <c r="A371" s="387"/>
      <c r="B371" s="174" t="s">
        <v>532</v>
      </c>
      <c r="C371" s="174" t="s">
        <v>537</v>
      </c>
      <c r="D371" s="180">
        <v>16.989999999999998</v>
      </c>
      <c r="E371" s="180">
        <v>16.989999999999998</v>
      </c>
      <c r="F371" s="131">
        <f t="shared" si="7"/>
        <v>17.669599999999999</v>
      </c>
      <c r="G371" s="251">
        <f t="shared" si="9"/>
        <v>0</v>
      </c>
    </row>
    <row r="372" spans="1:7" ht="12.75" customHeight="1" x14ac:dyDescent="0.15">
      <c r="A372" s="387"/>
      <c r="B372" s="174" t="s">
        <v>532</v>
      </c>
      <c r="C372" s="174" t="s">
        <v>538</v>
      </c>
      <c r="D372" s="180">
        <v>32.99</v>
      </c>
      <c r="E372" s="180">
        <v>34.99</v>
      </c>
      <c r="F372" s="131">
        <f t="shared" si="7"/>
        <v>36.389600000000002</v>
      </c>
      <c r="G372" s="251">
        <f t="shared" si="9"/>
        <v>6.0624431645953214E-2</v>
      </c>
    </row>
    <row r="373" spans="1:7" ht="12.75" customHeight="1" x14ac:dyDescent="0.15">
      <c r="A373" s="387"/>
      <c r="B373" s="174" t="s">
        <v>532</v>
      </c>
      <c r="C373" s="174" t="s">
        <v>180</v>
      </c>
      <c r="D373" s="180">
        <v>19.989999999999998</v>
      </c>
      <c r="E373" s="180">
        <v>19.989999999999998</v>
      </c>
      <c r="F373" s="131">
        <f t="shared" si="7"/>
        <v>20.7896</v>
      </c>
      <c r="G373" s="251">
        <f t="shared" si="9"/>
        <v>0</v>
      </c>
    </row>
    <row r="374" spans="1:7" ht="12.75" customHeight="1" x14ac:dyDescent="0.15">
      <c r="A374" s="387"/>
      <c r="B374" s="174" t="s">
        <v>532</v>
      </c>
      <c r="C374" s="174" t="s">
        <v>540</v>
      </c>
      <c r="D374" s="180">
        <v>19.989999999999998</v>
      </c>
      <c r="E374" s="180">
        <v>19.989999999999998</v>
      </c>
      <c r="F374" s="131">
        <f t="shared" si="7"/>
        <v>20.7896</v>
      </c>
      <c r="G374" s="251">
        <f t="shared" si="9"/>
        <v>0</v>
      </c>
    </row>
    <row r="375" spans="1:7" ht="12.75" customHeight="1" x14ac:dyDescent="0.15">
      <c r="A375" s="387"/>
      <c r="B375" s="174" t="s">
        <v>532</v>
      </c>
      <c r="C375" s="174" t="s">
        <v>761</v>
      </c>
      <c r="D375" s="180">
        <v>32.99</v>
      </c>
      <c r="E375" s="180">
        <v>34.99</v>
      </c>
      <c r="F375" s="131">
        <f t="shared" si="7"/>
        <v>36.389600000000002</v>
      </c>
      <c r="G375" s="251">
        <f t="shared" si="9"/>
        <v>6.0624431645953214E-2</v>
      </c>
    </row>
    <row r="376" spans="1:7" ht="12.75" customHeight="1" x14ac:dyDescent="0.15">
      <c r="A376" s="387"/>
      <c r="B376" s="174" t="s">
        <v>532</v>
      </c>
      <c r="C376" s="174" t="s">
        <v>542</v>
      </c>
      <c r="D376" s="180">
        <v>22.99</v>
      </c>
      <c r="E376" s="180">
        <v>29.99</v>
      </c>
      <c r="F376" s="131">
        <f t="shared" si="7"/>
        <v>31.189599999999999</v>
      </c>
      <c r="G376" s="251">
        <f t="shared" si="9"/>
        <v>0.3044802087864289</v>
      </c>
    </row>
    <row r="377" spans="1:7" ht="12.75" customHeight="1" x14ac:dyDescent="0.15">
      <c r="A377" s="387"/>
      <c r="B377" s="174" t="s">
        <v>532</v>
      </c>
      <c r="C377" s="174" t="s">
        <v>543</v>
      </c>
      <c r="D377" s="180">
        <v>22.99</v>
      </c>
      <c r="E377" s="180">
        <v>29.99</v>
      </c>
      <c r="F377" s="131">
        <f t="shared" si="7"/>
        <v>31.189599999999999</v>
      </c>
      <c r="G377" s="251">
        <f t="shared" si="9"/>
        <v>0.3044802087864289</v>
      </c>
    </row>
    <row r="378" spans="1:7" ht="12.75" customHeight="1" x14ac:dyDescent="0.15">
      <c r="A378" s="387"/>
      <c r="B378" s="174" t="s">
        <v>532</v>
      </c>
      <c r="C378" s="174" t="s">
        <v>544</v>
      </c>
      <c r="D378" s="180">
        <v>32.99</v>
      </c>
      <c r="E378" s="180">
        <v>34.99</v>
      </c>
      <c r="F378" s="131">
        <f t="shared" ref="F378:F379" si="10">(E379*0.04)+E379</f>
        <v>36.389600000000002</v>
      </c>
      <c r="G378" s="251">
        <f t="shared" ref="G378:G379" si="11">+(E379/D378)-1</f>
        <v>6.0624431645953214E-2</v>
      </c>
    </row>
    <row r="379" spans="1:7" ht="12.75" customHeight="1" x14ac:dyDescent="0.15">
      <c r="A379" s="387"/>
      <c r="B379" s="174" t="s">
        <v>532</v>
      </c>
      <c r="C379" s="174" t="s">
        <v>533</v>
      </c>
      <c r="D379" s="180">
        <v>32.99</v>
      </c>
      <c r="E379" s="180">
        <v>34.99</v>
      </c>
      <c r="F379" s="131">
        <f t="shared" si="10"/>
        <v>29.109599999999997</v>
      </c>
      <c r="G379" s="251">
        <f t="shared" si="11"/>
        <v>-0.15156107911488337</v>
      </c>
    </row>
    <row r="380" spans="1:7" ht="12.75" customHeight="1" x14ac:dyDescent="0.15">
      <c r="A380" s="387"/>
      <c r="B380" s="174" t="s">
        <v>545</v>
      </c>
      <c r="C380" s="174" t="s">
        <v>58</v>
      </c>
      <c r="D380" s="180">
        <v>26.99</v>
      </c>
      <c r="E380" s="180">
        <v>27.99</v>
      </c>
      <c r="F380" s="131">
        <f t="shared" ref="F380:F447" si="12">(E380*0.04)+E380</f>
        <v>29.109599999999997</v>
      </c>
      <c r="G380" s="251">
        <f t="shared" ref="G380:G447" si="13">+(E380/D380)-1</f>
        <v>3.7050759540570688E-2</v>
      </c>
    </row>
    <row r="381" spans="1:7" ht="12.75" customHeight="1" x14ac:dyDescent="0.15">
      <c r="A381" s="387"/>
      <c r="B381" s="174" t="s">
        <v>546</v>
      </c>
      <c r="C381" s="174" t="s">
        <v>547</v>
      </c>
      <c r="D381" s="180">
        <v>11.99</v>
      </c>
      <c r="E381" s="180">
        <v>11.99</v>
      </c>
      <c r="F381" s="131">
        <f t="shared" si="12"/>
        <v>12.4696</v>
      </c>
      <c r="G381" s="251">
        <f t="shared" si="13"/>
        <v>0</v>
      </c>
    </row>
    <row r="382" spans="1:7" ht="12.75" customHeight="1" x14ac:dyDescent="0.15">
      <c r="A382" s="387"/>
      <c r="B382" s="174" t="s">
        <v>546</v>
      </c>
      <c r="C382" s="174" t="s">
        <v>762</v>
      </c>
      <c r="D382" s="180">
        <v>19.489999999999998</v>
      </c>
      <c r="E382" s="180">
        <v>19.489999999999998</v>
      </c>
      <c r="F382" s="131">
        <f t="shared" si="12"/>
        <v>20.269599999999997</v>
      </c>
      <c r="G382" s="251">
        <f t="shared" si="13"/>
        <v>0</v>
      </c>
    </row>
    <row r="383" spans="1:7" ht="12.75" customHeight="1" x14ac:dyDescent="0.15">
      <c r="A383" s="387"/>
      <c r="B383" s="174" t="s">
        <v>546</v>
      </c>
      <c r="C383" s="174" t="s">
        <v>549</v>
      </c>
      <c r="D383" s="180">
        <v>27.99</v>
      </c>
      <c r="E383" s="180">
        <v>29.99</v>
      </c>
      <c r="F383" s="131">
        <f t="shared" si="12"/>
        <v>31.189599999999999</v>
      </c>
      <c r="G383" s="251">
        <f t="shared" si="13"/>
        <v>7.1454090746695176E-2</v>
      </c>
    </row>
    <row r="384" spans="1:7" ht="12.75" customHeight="1" x14ac:dyDescent="0.15">
      <c r="A384" s="387"/>
      <c r="B384" s="174" t="s">
        <v>550</v>
      </c>
      <c r="C384" s="174" t="s">
        <v>551</v>
      </c>
      <c r="D384" s="180">
        <v>22.99</v>
      </c>
      <c r="E384" s="180">
        <v>22.99</v>
      </c>
      <c r="F384" s="131">
        <f t="shared" si="12"/>
        <v>23.909599999999998</v>
      </c>
      <c r="G384" s="251">
        <f t="shared" si="13"/>
        <v>0</v>
      </c>
    </row>
    <row r="385" spans="1:7" ht="12.75" customHeight="1" x14ac:dyDescent="0.15">
      <c r="A385" s="387"/>
      <c r="B385" s="174" t="s">
        <v>550</v>
      </c>
      <c r="C385" s="174" t="s">
        <v>552</v>
      </c>
      <c r="D385" s="180">
        <v>17.989999999999998</v>
      </c>
      <c r="E385" s="180">
        <v>19.989999999999998</v>
      </c>
      <c r="F385" s="131">
        <f t="shared" si="12"/>
        <v>20.7896</v>
      </c>
      <c r="G385" s="251">
        <f t="shared" si="13"/>
        <v>0.11117287381878826</v>
      </c>
    </row>
    <row r="386" spans="1:7" ht="12.75" customHeight="1" x14ac:dyDescent="0.15">
      <c r="A386" s="387"/>
      <c r="B386" s="174" t="s">
        <v>550</v>
      </c>
      <c r="C386" s="177" t="s">
        <v>553</v>
      </c>
      <c r="D386" s="183">
        <v>15.99</v>
      </c>
      <c r="E386" s="183">
        <v>16.989999999999998</v>
      </c>
      <c r="F386" s="131">
        <f t="shared" si="12"/>
        <v>17.669599999999999</v>
      </c>
      <c r="G386" s="251">
        <f t="shared" si="13"/>
        <v>6.2539086929330745E-2</v>
      </c>
    </row>
    <row r="387" spans="1:7" ht="12.75" customHeight="1" x14ac:dyDescent="0.15">
      <c r="A387" s="387"/>
      <c r="B387" s="174" t="s">
        <v>550</v>
      </c>
      <c r="C387" s="177" t="s">
        <v>554</v>
      </c>
      <c r="D387" s="183">
        <v>16.989999999999998</v>
      </c>
      <c r="E387" s="183">
        <v>17.489999999999998</v>
      </c>
      <c r="F387" s="131">
        <f t="shared" si="12"/>
        <v>18.189599999999999</v>
      </c>
      <c r="G387" s="251">
        <f t="shared" si="13"/>
        <v>2.9429075927015935E-2</v>
      </c>
    </row>
    <row r="388" spans="1:7" ht="12.75" customHeight="1" x14ac:dyDescent="0.15">
      <c r="A388" s="387"/>
      <c r="B388" s="174" t="s">
        <v>555</v>
      </c>
      <c r="C388" s="177" t="s">
        <v>556</v>
      </c>
      <c r="D388" s="183">
        <v>27.99</v>
      </c>
      <c r="E388" s="183">
        <v>27.99</v>
      </c>
      <c r="F388" s="131">
        <f t="shared" si="12"/>
        <v>29.109599999999997</v>
      </c>
      <c r="G388" s="251">
        <f t="shared" si="13"/>
        <v>0</v>
      </c>
    </row>
    <row r="389" spans="1:7" ht="12.75" customHeight="1" x14ac:dyDescent="0.15">
      <c r="A389" s="387"/>
      <c r="B389" s="174" t="s">
        <v>563</v>
      </c>
      <c r="C389" s="177" t="s">
        <v>564</v>
      </c>
      <c r="D389" s="183">
        <v>19.489999999999998</v>
      </c>
      <c r="E389" s="183">
        <v>19.989999999999998</v>
      </c>
      <c r="F389" s="131">
        <f t="shared" si="12"/>
        <v>20.7896</v>
      </c>
      <c r="G389" s="251">
        <f t="shared" si="13"/>
        <v>2.5654181631606043E-2</v>
      </c>
    </row>
    <row r="390" spans="1:7" ht="12.75" customHeight="1" x14ac:dyDescent="0.15">
      <c r="A390" s="387"/>
      <c r="B390" s="174" t="s">
        <v>565</v>
      </c>
      <c r="C390" s="177" t="s">
        <v>566</v>
      </c>
      <c r="D390" s="183">
        <v>8.99</v>
      </c>
      <c r="E390" s="183">
        <v>8.99</v>
      </c>
      <c r="F390" s="131">
        <f t="shared" si="12"/>
        <v>9.3496000000000006</v>
      </c>
      <c r="G390" s="251">
        <f t="shared" si="13"/>
        <v>0</v>
      </c>
    </row>
    <row r="391" spans="1:7" ht="12.75" customHeight="1" x14ac:dyDescent="0.15">
      <c r="A391" s="387"/>
      <c r="B391" s="174" t="s">
        <v>565</v>
      </c>
      <c r="C391" s="177" t="s">
        <v>764</v>
      </c>
      <c r="D391" s="183">
        <v>8.99</v>
      </c>
      <c r="E391" s="183">
        <v>8.99</v>
      </c>
      <c r="F391" s="131">
        <f t="shared" si="12"/>
        <v>9.3496000000000006</v>
      </c>
      <c r="G391" s="251">
        <f t="shared" si="13"/>
        <v>0</v>
      </c>
    </row>
    <row r="392" spans="1:7" ht="12.75" customHeight="1" x14ac:dyDescent="0.15">
      <c r="A392" s="388"/>
      <c r="B392" s="174" t="s">
        <v>565</v>
      </c>
      <c r="C392" s="174" t="s">
        <v>766</v>
      </c>
      <c r="D392" s="180">
        <v>6.9</v>
      </c>
      <c r="E392" s="180">
        <v>7.49</v>
      </c>
      <c r="F392" s="131">
        <f t="shared" si="12"/>
        <v>7.7896000000000001</v>
      </c>
      <c r="G392" s="251">
        <f t="shared" si="13"/>
        <v>8.5507246376811619E-2</v>
      </c>
    </row>
    <row r="393" spans="1:7" ht="12.75" customHeight="1" x14ac:dyDescent="0.15">
      <c r="A393" s="422" t="s">
        <v>573</v>
      </c>
      <c r="B393" s="174" t="s">
        <v>574</v>
      </c>
      <c r="C393" s="174" t="s">
        <v>575</v>
      </c>
      <c r="D393" s="180">
        <v>24.99</v>
      </c>
      <c r="E393" s="180">
        <v>25.49</v>
      </c>
      <c r="F393" s="131">
        <f t="shared" si="12"/>
        <v>26.509599999999999</v>
      </c>
      <c r="G393" s="251">
        <f t="shared" si="13"/>
        <v>2.00080032012806E-2</v>
      </c>
    </row>
    <row r="394" spans="1:7" ht="12.75" customHeight="1" x14ac:dyDescent="0.15">
      <c r="A394" s="387"/>
      <c r="B394" s="174" t="s">
        <v>574</v>
      </c>
      <c r="C394" s="174" t="s">
        <v>576</v>
      </c>
      <c r="D394" s="180">
        <v>32.99</v>
      </c>
      <c r="E394" s="180">
        <v>34.99</v>
      </c>
      <c r="F394" s="131">
        <f t="shared" si="12"/>
        <v>36.389600000000002</v>
      </c>
      <c r="G394" s="251">
        <f t="shared" si="13"/>
        <v>6.0624431645953214E-2</v>
      </c>
    </row>
    <row r="395" spans="1:7" ht="12.75" customHeight="1" x14ac:dyDescent="0.15">
      <c r="A395" s="387"/>
      <c r="B395" s="174" t="s">
        <v>574</v>
      </c>
      <c r="C395" s="174" t="s">
        <v>577</v>
      </c>
      <c r="D395" s="180">
        <v>59.99</v>
      </c>
      <c r="E395" s="180">
        <v>64.989999999999995</v>
      </c>
      <c r="F395" s="131">
        <f t="shared" si="12"/>
        <v>67.58959999999999</v>
      </c>
      <c r="G395" s="251">
        <f t="shared" si="13"/>
        <v>8.3347224537422715E-2</v>
      </c>
    </row>
    <row r="396" spans="1:7" ht="12.75" customHeight="1" x14ac:dyDescent="0.15">
      <c r="A396" s="387"/>
      <c r="B396" s="174" t="s">
        <v>574</v>
      </c>
      <c r="C396" s="174" t="s">
        <v>578</v>
      </c>
      <c r="D396" s="180">
        <v>84.99</v>
      </c>
      <c r="E396" s="180">
        <v>86.99</v>
      </c>
      <c r="F396" s="131">
        <f t="shared" si="12"/>
        <v>90.4696</v>
      </c>
      <c r="G396" s="251">
        <f t="shared" si="13"/>
        <v>2.3532180256500723E-2</v>
      </c>
    </row>
    <row r="397" spans="1:7" ht="12.75" customHeight="1" x14ac:dyDescent="0.15">
      <c r="A397" s="387"/>
      <c r="B397" s="174" t="s">
        <v>574</v>
      </c>
      <c r="C397" s="174" t="s">
        <v>579</v>
      </c>
      <c r="D397" s="180">
        <v>114.99</v>
      </c>
      <c r="E397" s="180">
        <v>114.99</v>
      </c>
      <c r="F397" s="131">
        <f t="shared" si="12"/>
        <v>119.58959999999999</v>
      </c>
      <c r="G397" s="251">
        <f t="shared" si="13"/>
        <v>0</v>
      </c>
    </row>
    <row r="398" spans="1:7" ht="12.75" customHeight="1" x14ac:dyDescent="0.15">
      <c r="A398" s="387"/>
      <c r="B398" s="174" t="s">
        <v>580</v>
      </c>
      <c r="C398" s="174" t="s">
        <v>581</v>
      </c>
      <c r="D398" s="183">
        <v>34.99</v>
      </c>
      <c r="E398" s="183">
        <v>37.99</v>
      </c>
      <c r="F398" s="131">
        <f t="shared" si="12"/>
        <v>39.509599999999999</v>
      </c>
      <c r="G398" s="251">
        <f t="shared" si="13"/>
        <v>8.5738782509288347E-2</v>
      </c>
    </row>
    <row r="399" spans="1:7" ht="12.75" customHeight="1" x14ac:dyDescent="0.15">
      <c r="A399" s="387"/>
      <c r="B399" s="174" t="s">
        <v>580</v>
      </c>
      <c r="C399" s="174" t="s">
        <v>582</v>
      </c>
      <c r="D399" s="183">
        <v>49.99</v>
      </c>
      <c r="E399" s="183">
        <v>54.99</v>
      </c>
      <c r="F399" s="131">
        <f t="shared" si="12"/>
        <v>57.189599999999999</v>
      </c>
      <c r="G399" s="251">
        <f t="shared" si="13"/>
        <v>0.10002000400080013</v>
      </c>
    </row>
    <row r="400" spans="1:7" ht="12.75" customHeight="1" x14ac:dyDescent="0.15">
      <c r="A400" s="387"/>
      <c r="B400" s="174" t="s">
        <v>580</v>
      </c>
      <c r="C400" s="174" t="s">
        <v>583</v>
      </c>
      <c r="D400" s="183">
        <v>94.99</v>
      </c>
      <c r="E400" s="183">
        <v>99.99</v>
      </c>
      <c r="F400" s="131">
        <f t="shared" si="12"/>
        <v>103.9896</v>
      </c>
      <c r="G400" s="251">
        <f t="shared" si="13"/>
        <v>5.2637119696810286E-2</v>
      </c>
    </row>
    <row r="401" spans="1:7" ht="12.75" customHeight="1" x14ac:dyDescent="0.15">
      <c r="A401" s="387"/>
      <c r="B401" s="174" t="s">
        <v>580</v>
      </c>
      <c r="C401" s="174" t="s">
        <v>584</v>
      </c>
      <c r="D401" s="183">
        <v>134.99</v>
      </c>
      <c r="E401" s="183">
        <v>139.99</v>
      </c>
      <c r="F401" s="131">
        <f t="shared" si="12"/>
        <v>145.58960000000002</v>
      </c>
      <c r="G401" s="251">
        <f t="shared" si="13"/>
        <v>3.7039780724498206E-2</v>
      </c>
    </row>
    <row r="402" spans="1:7" ht="12.75" customHeight="1" x14ac:dyDescent="0.15">
      <c r="A402" s="387"/>
      <c r="B402" s="174" t="s">
        <v>580</v>
      </c>
      <c r="C402" s="174" t="s">
        <v>585</v>
      </c>
      <c r="D402" s="183">
        <v>184.99</v>
      </c>
      <c r="E402" s="183">
        <v>189.99</v>
      </c>
      <c r="F402" s="131">
        <f t="shared" si="12"/>
        <v>197.58960000000002</v>
      </c>
      <c r="G402" s="251">
        <f t="shared" si="13"/>
        <v>2.7028488026379804E-2</v>
      </c>
    </row>
    <row r="403" spans="1:7" ht="12.75" customHeight="1" x14ac:dyDescent="0.15">
      <c r="A403" s="387"/>
      <c r="B403" s="174" t="s">
        <v>586</v>
      </c>
      <c r="C403" s="174" t="s">
        <v>587</v>
      </c>
      <c r="D403" s="183">
        <v>39.99</v>
      </c>
      <c r="E403" s="183">
        <v>44.99</v>
      </c>
      <c r="F403" s="131">
        <f t="shared" si="12"/>
        <v>46.7896</v>
      </c>
      <c r="G403" s="251">
        <f t="shared" si="13"/>
        <v>0.12503125781445368</v>
      </c>
    </row>
    <row r="404" spans="1:7" ht="12.75" customHeight="1" x14ac:dyDescent="0.15">
      <c r="A404" s="387"/>
      <c r="B404" s="174" t="s">
        <v>586</v>
      </c>
      <c r="C404" s="174" t="s">
        <v>588</v>
      </c>
      <c r="D404" s="183">
        <v>59.99</v>
      </c>
      <c r="E404" s="183">
        <v>64.989999999999995</v>
      </c>
      <c r="F404" s="131">
        <f t="shared" si="12"/>
        <v>67.58959999999999</v>
      </c>
      <c r="G404" s="251">
        <f t="shared" si="13"/>
        <v>8.3347224537422715E-2</v>
      </c>
    </row>
    <row r="405" spans="1:7" ht="12.75" customHeight="1" x14ac:dyDescent="0.15">
      <c r="A405" s="387"/>
      <c r="B405" s="174" t="s">
        <v>589</v>
      </c>
      <c r="C405" s="174" t="s">
        <v>590</v>
      </c>
      <c r="D405" s="183">
        <v>32.99</v>
      </c>
      <c r="E405" s="183">
        <v>39.99</v>
      </c>
      <c r="F405" s="131">
        <f t="shared" si="12"/>
        <v>41.589600000000004</v>
      </c>
      <c r="G405" s="251">
        <f t="shared" si="13"/>
        <v>0.21218551076083658</v>
      </c>
    </row>
    <row r="406" spans="1:7" ht="12.75" customHeight="1" x14ac:dyDescent="0.15">
      <c r="A406" s="387"/>
      <c r="B406" s="174" t="s">
        <v>589</v>
      </c>
      <c r="C406" s="174" t="s">
        <v>591</v>
      </c>
      <c r="D406" s="183">
        <v>39.99</v>
      </c>
      <c r="E406" s="183">
        <v>44.99</v>
      </c>
      <c r="F406" s="131">
        <f t="shared" si="12"/>
        <v>46.7896</v>
      </c>
      <c r="G406" s="251">
        <f t="shared" si="13"/>
        <v>0.12503125781445368</v>
      </c>
    </row>
    <row r="407" spans="1:7" ht="12.75" customHeight="1" x14ac:dyDescent="0.15">
      <c r="A407" s="387"/>
      <c r="B407" s="174" t="s">
        <v>592</v>
      </c>
      <c r="C407" s="174" t="s">
        <v>593</v>
      </c>
      <c r="D407" s="180">
        <v>39.99</v>
      </c>
      <c r="E407" s="180">
        <v>42.99</v>
      </c>
      <c r="F407" s="131">
        <f t="shared" si="12"/>
        <v>44.709600000000002</v>
      </c>
      <c r="G407" s="251">
        <f t="shared" si="13"/>
        <v>7.5018754688672251E-2</v>
      </c>
    </row>
    <row r="408" spans="1:7" ht="12.75" customHeight="1" x14ac:dyDescent="0.15">
      <c r="A408" s="387"/>
      <c r="B408" s="174" t="s">
        <v>592</v>
      </c>
      <c r="C408" s="174" t="s">
        <v>594</v>
      </c>
      <c r="D408" s="180">
        <v>64.989999999999995</v>
      </c>
      <c r="E408" s="180">
        <v>68.989999999999995</v>
      </c>
      <c r="F408" s="131">
        <f t="shared" si="12"/>
        <v>71.749600000000001</v>
      </c>
      <c r="G408" s="251">
        <f t="shared" si="13"/>
        <v>6.1547930450838617E-2</v>
      </c>
    </row>
    <row r="409" spans="1:7" ht="12.75" customHeight="1" x14ac:dyDescent="0.15">
      <c r="A409" s="387"/>
      <c r="B409" s="174" t="s">
        <v>592</v>
      </c>
      <c r="C409" s="174" t="s">
        <v>595</v>
      </c>
      <c r="D409" s="180">
        <v>114.99</v>
      </c>
      <c r="E409" s="180">
        <v>114.99</v>
      </c>
      <c r="F409" s="131">
        <f t="shared" si="12"/>
        <v>119.58959999999999</v>
      </c>
      <c r="G409" s="251">
        <f t="shared" si="13"/>
        <v>0</v>
      </c>
    </row>
    <row r="410" spans="1:7" ht="12.75" customHeight="1" x14ac:dyDescent="0.15">
      <c r="A410" s="387"/>
      <c r="B410" s="174" t="s">
        <v>592</v>
      </c>
      <c r="C410" s="174" t="s">
        <v>596</v>
      </c>
      <c r="D410" s="180">
        <v>184.99</v>
      </c>
      <c r="E410" s="180">
        <v>184.99</v>
      </c>
      <c r="F410" s="131">
        <f t="shared" si="12"/>
        <v>192.3896</v>
      </c>
      <c r="G410" s="251">
        <f t="shared" si="13"/>
        <v>0</v>
      </c>
    </row>
    <row r="411" spans="1:7" ht="12.75" customHeight="1" x14ac:dyDescent="0.15">
      <c r="A411" s="387"/>
      <c r="B411" s="174" t="s">
        <v>592</v>
      </c>
      <c r="C411" s="174" t="s">
        <v>597</v>
      </c>
      <c r="D411" s="180">
        <v>229.99</v>
      </c>
      <c r="E411" s="180">
        <v>229.99</v>
      </c>
      <c r="F411" s="131">
        <f t="shared" si="12"/>
        <v>239.18960000000001</v>
      </c>
      <c r="G411" s="251">
        <f t="shared" si="13"/>
        <v>0</v>
      </c>
    </row>
    <row r="412" spans="1:7" ht="12.75" customHeight="1" x14ac:dyDescent="0.15">
      <c r="A412" s="387"/>
      <c r="B412" s="174" t="s">
        <v>598</v>
      </c>
      <c r="C412" s="174" t="s">
        <v>281</v>
      </c>
      <c r="D412" s="180">
        <v>39.99</v>
      </c>
      <c r="E412" s="180">
        <v>44.99</v>
      </c>
      <c r="F412" s="131">
        <f t="shared" si="12"/>
        <v>46.7896</v>
      </c>
      <c r="G412" s="251">
        <f t="shared" si="13"/>
        <v>0.12503125781445368</v>
      </c>
    </row>
    <row r="413" spans="1:7" ht="12.75" customHeight="1" x14ac:dyDescent="0.15">
      <c r="A413" s="387"/>
      <c r="B413" s="174" t="s">
        <v>598</v>
      </c>
      <c r="C413" s="174" t="s">
        <v>599</v>
      </c>
      <c r="D413" s="180">
        <v>39.99</v>
      </c>
      <c r="E413" s="180">
        <v>44.99</v>
      </c>
      <c r="F413" s="131">
        <f t="shared" si="12"/>
        <v>46.7896</v>
      </c>
      <c r="G413" s="251">
        <f t="shared" si="13"/>
        <v>0.12503125781445368</v>
      </c>
    </row>
    <row r="414" spans="1:7" ht="12.75" customHeight="1" x14ac:dyDescent="0.15">
      <c r="A414" s="387"/>
      <c r="B414" s="174" t="s">
        <v>598</v>
      </c>
      <c r="C414" s="174" t="s">
        <v>600</v>
      </c>
      <c r="D414" s="180">
        <v>39.99</v>
      </c>
      <c r="E414" s="180">
        <v>44.99</v>
      </c>
      <c r="F414" s="131">
        <f t="shared" si="12"/>
        <v>46.7896</v>
      </c>
      <c r="G414" s="251">
        <f t="shared" si="13"/>
        <v>0.12503125781445368</v>
      </c>
    </row>
    <row r="415" spans="1:7" ht="12.75" customHeight="1" x14ac:dyDescent="0.15">
      <c r="A415" s="387"/>
      <c r="B415" s="174" t="s">
        <v>601</v>
      </c>
      <c r="C415" s="174" t="s">
        <v>602</v>
      </c>
      <c r="D415" s="180">
        <v>34.99</v>
      </c>
      <c r="E415" s="180">
        <v>39.99</v>
      </c>
      <c r="F415" s="131">
        <f t="shared" si="12"/>
        <v>41.589600000000004</v>
      </c>
      <c r="G415" s="251">
        <f t="shared" si="13"/>
        <v>0.14289797084881384</v>
      </c>
    </row>
    <row r="416" spans="1:7" ht="12.75" customHeight="1" x14ac:dyDescent="0.15">
      <c r="A416" s="387"/>
      <c r="B416" s="174" t="s">
        <v>601</v>
      </c>
      <c r="C416" s="174" t="s">
        <v>603</v>
      </c>
      <c r="D416" s="180">
        <v>34.99</v>
      </c>
      <c r="E416" s="180">
        <v>39.99</v>
      </c>
      <c r="F416" s="131">
        <f t="shared" si="12"/>
        <v>41.589600000000004</v>
      </c>
      <c r="G416" s="251">
        <f t="shared" si="13"/>
        <v>0.14289797084881384</v>
      </c>
    </row>
    <row r="417" spans="1:7" ht="12.75" customHeight="1" x14ac:dyDescent="0.15">
      <c r="A417" s="387"/>
      <c r="B417" s="174" t="s">
        <v>604</v>
      </c>
      <c r="C417" s="174" t="s">
        <v>605</v>
      </c>
      <c r="D417" s="180">
        <v>39.99</v>
      </c>
      <c r="E417" s="180">
        <v>44.99</v>
      </c>
      <c r="F417" s="131">
        <f t="shared" si="12"/>
        <v>46.7896</v>
      </c>
      <c r="G417" s="251">
        <f t="shared" si="13"/>
        <v>0.12503125781445368</v>
      </c>
    </row>
    <row r="418" spans="1:7" ht="12.75" customHeight="1" x14ac:dyDescent="0.15">
      <c r="A418" s="387"/>
      <c r="B418" s="174" t="s">
        <v>604</v>
      </c>
      <c r="C418" s="174" t="s">
        <v>606</v>
      </c>
      <c r="D418" s="180">
        <v>39.99</v>
      </c>
      <c r="E418" s="180">
        <v>44.99</v>
      </c>
      <c r="F418" s="131">
        <f t="shared" si="12"/>
        <v>46.7896</v>
      </c>
      <c r="G418" s="251">
        <f t="shared" si="13"/>
        <v>0.12503125781445368</v>
      </c>
    </row>
    <row r="419" spans="1:7" ht="12.75" customHeight="1" x14ac:dyDescent="0.15">
      <c r="A419" s="387"/>
      <c r="B419" s="174" t="s">
        <v>604</v>
      </c>
      <c r="C419" s="174" t="s">
        <v>607</v>
      </c>
      <c r="D419" s="180">
        <v>39.99</v>
      </c>
      <c r="E419" s="180">
        <v>44.99</v>
      </c>
      <c r="F419" s="131">
        <f t="shared" si="12"/>
        <v>46.7896</v>
      </c>
      <c r="G419" s="251">
        <f t="shared" si="13"/>
        <v>0.12503125781445368</v>
      </c>
    </row>
    <row r="420" spans="1:7" ht="12.75" customHeight="1" x14ac:dyDescent="0.15">
      <c r="A420" s="387"/>
      <c r="B420" s="174" t="s">
        <v>604</v>
      </c>
      <c r="C420" s="174" t="s">
        <v>608</v>
      </c>
      <c r="D420" s="180">
        <v>39.99</v>
      </c>
      <c r="E420" s="180">
        <v>44.99</v>
      </c>
      <c r="F420" s="131">
        <f t="shared" si="12"/>
        <v>46.7896</v>
      </c>
      <c r="G420" s="251">
        <f t="shared" si="13"/>
        <v>0.12503125781445368</v>
      </c>
    </row>
    <row r="421" spans="1:7" ht="12.75" customHeight="1" x14ac:dyDescent="0.15">
      <c r="A421" s="387"/>
      <c r="B421" s="174" t="s">
        <v>609</v>
      </c>
      <c r="C421" s="174" t="s">
        <v>256</v>
      </c>
      <c r="D421" s="180">
        <v>32.9</v>
      </c>
      <c r="E421" s="180">
        <v>34.99</v>
      </c>
      <c r="F421" s="131">
        <f t="shared" si="12"/>
        <v>36.389600000000002</v>
      </c>
      <c r="G421" s="251">
        <f t="shared" si="13"/>
        <v>6.3525835866261593E-2</v>
      </c>
    </row>
    <row r="422" spans="1:7" ht="12.75" customHeight="1" x14ac:dyDescent="0.15">
      <c r="A422" s="387"/>
      <c r="B422" s="174" t="s">
        <v>609</v>
      </c>
      <c r="C422" s="174" t="s">
        <v>257</v>
      </c>
      <c r="D422" s="180">
        <v>39.99</v>
      </c>
      <c r="E422" s="180">
        <v>44.99</v>
      </c>
      <c r="F422" s="131">
        <f t="shared" si="12"/>
        <v>46.7896</v>
      </c>
      <c r="G422" s="251">
        <f t="shared" si="13"/>
        <v>0.12503125781445368</v>
      </c>
    </row>
    <row r="423" spans="1:7" ht="12.75" customHeight="1" x14ac:dyDescent="0.15">
      <c r="A423" s="387"/>
      <c r="B423" s="174" t="s">
        <v>609</v>
      </c>
      <c r="C423" s="174" t="s">
        <v>610</v>
      </c>
      <c r="D423" s="180">
        <v>39.99</v>
      </c>
      <c r="E423" s="180">
        <v>44.99</v>
      </c>
      <c r="F423" s="131">
        <f t="shared" si="12"/>
        <v>46.7896</v>
      </c>
      <c r="G423" s="251">
        <f t="shared" si="13"/>
        <v>0.12503125781445368</v>
      </c>
    </row>
    <row r="424" spans="1:7" ht="12.75" customHeight="1" x14ac:dyDescent="0.15">
      <c r="A424" s="387"/>
      <c r="B424" s="174" t="s">
        <v>609</v>
      </c>
      <c r="C424" s="174" t="s">
        <v>611</v>
      </c>
      <c r="D424" s="180">
        <v>39.99</v>
      </c>
      <c r="E424" s="180">
        <v>44.99</v>
      </c>
      <c r="F424" s="131">
        <f t="shared" si="12"/>
        <v>46.7896</v>
      </c>
      <c r="G424" s="251">
        <f t="shared" si="13"/>
        <v>0.12503125781445368</v>
      </c>
    </row>
    <row r="425" spans="1:7" ht="12.75" customHeight="1" x14ac:dyDescent="0.15">
      <c r="A425" s="387"/>
      <c r="B425" s="174" t="s">
        <v>609</v>
      </c>
      <c r="C425" s="177" t="s">
        <v>612</v>
      </c>
      <c r="D425" s="183">
        <v>39.99</v>
      </c>
      <c r="E425" s="180">
        <v>44.99</v>
      </c>
      <c r="F425" s="131">
        <f t="shared" si="12"/>
        <v>46.7896</v>
      </c>
      <c r="G425" s="251">
        <f t="shared" si="13"/>
        <v>0.12503125781445368</v>
      </c>
    </row>
    <row r="426" spans="1:7" ht="12.75" customHeight="1" x14ac:dyDescent="0.15">
      <c r="A426" s="387"/>
      <c r="B426" s="174" t="s">
        <v>609</v>
      </c>
      <c r="C426" s="177" t="s">
        <v>613</v>
      </c>
      <c r="D426" s="183">
        <v>34.99</v>
      </c>
      <c r="E426" s="183">
        <v>39.99</v>
      </c>
      <c r="F426" s="131">
        <f t="shared" si="12"/>
        <v>41.589600000000004</v>
      </c>
      <c r="G426" s="251">
        <f t="shared" si="13"/>
        <v>0.14289797084881384</v>
      </c>
    </row>
    <row r="427" spans="1:7" ht="12.75" customHeight="1" x14ac:dyDescent="0.15">
      <c r="A427" s="387"/>
      <c r="B427" s="174" t="s">
        <v>609</v>
      </c>
      <c r="C427" s="177" t="s">
        <v>614</v>
      </c>
      <c r="D427" s="183">
        <v>28.99</v>
      </c>
      <c r="E427" s="183">
        <v>32.99</v>
      </c>
      <c r="F427" s="131">
        <f t="shared" si="12"/>
        <v>34.309600000000003</v>
      </c>
      <c r="G427" s="251">
        <f t="shared" si="13"/>
        <v>0.13797861331493633</v>
      </c>
    </row>
    <row r="428" spans="1:7" ht="12.75" customHeight="1" x14ac:dyDescent="0.15">
      <c r="A428" s="387"/>
      <c r="B428" s="174" t="s">
        <v>609</v>
      </c>
      <c r="C428" s="177" t="s">
        <v>615</v>
      </c>
      <c r="D428" s="183">
        <v>39.99</v>
      </c>
      <c r="E428" s="183">
        <v>44.99</v>
      </c>
      <c r="F428" s="131">
        <f t="shared" si="12"/>
        <v>46.7896</v>
      </c>
      <c r="G428" s="251">
        <f t="shared" si="13"/>
        <v>0.12503125781445368</v>
      </c>
    </row>
    <row r="429" spans="1:7" ht="12.75" customHeight="1" x14ac:dyDescent="0.15">
      <c r="A429" s="387"/>
      <c r="B429" s="174" t="s">
        <v>616</v>
      </c>
      <c r="C429" s="177" t="s">
        <v>617</v>
      </c>
      <c r="D429" s="183">
        <v>22</v>
      </c>
      <c r="E429" s="183">
        <v>27.99</v>
      </c>
      <c r="F429" s="131">
        <f t="shared" si="12"/>
        <v>29.109599999999997</v>
      </c>
      <c r="G429" s="251">
        <f t="shared" si="13"/>
        <v>0.27227272727272722</v>
      </c>
    </row>
    <row r="430" spans="1:7" ht="12.75" customHeight="1" x14ac:dyDescent="0.15">
      <c r="A430" s="387"/>
      <c r="B430" s="174" t="s">
        <v>616</v>
      </c>
      <c r="C430" s="177" t="s">
        <v>618</v>
      </c>
      <c r="D430" s="183">
        <v>24.99</v>
      </c>
      <c r="E430" s="183">
        <v>27.99</v>
      </c>
      <c r="F430" s="131">
        <f t="shared" si="12"/>
        <v>29.109599999999997</v>
      </c>
      <c r="G430" s="251">
        <f t="shared" si="13"/>
        <v>0.12004801920768315</v>
      </c>
    </row>
    <row r="431" spans="1:7" ht="12.75" customHeight="1" x14ac:dyDescent="0.15">
      <c r="A431" s="387"/>
      <c r="B431" s="174" t="s">
        <v>616</v>
      </c>
      <c r="C431" s="177" t="s">
        <v>619</v>
      </c>
      <c r="D431" s="183">
        <v>34.99</v>
      </c>
      <c r="E431" s="183">
        <v>39.99</v>
      </c>
      <c r="F431" s="131">
        <f t="shared" si="12"/>
        <v>41.589600000000004</v>
      </c>
      <c r="G431" s="251">
        <f t="shared" si="13"/>
        <v>0.14289797084881384</v>
      </c>
    </row>
    <row r="432" spans="1:7" ht="12.75" customHeight="1" x14ac:dyDescent="0.15">
      <c r="A432" s="387"/>
      <c r="B432" s="174" t="s">
        <v>616</v>
      </c>
      <c r="C432" s="177" t="s">
        <v>621</v>
      </c>
      <c r="D432" s="183">
        <v>24.99</v>
      </c>
      <c r="E432" s="183">
        <v>27.99</v>
      </c>
      <c r="F432" s="131">
        <f t="shared" si="12"/>
        <v>29.109599999999997</v>
      </c>
      <c r="G432" s="251">
        <f t="shared" si="13"/>
        <v>0.12004801920768315</v>
      </c>
    </row>
    <row r="433" spans="1:7" ht="12.75" customHeight="1" x14ac:dyDescent="0.15">
      <c r="A433" s="387"/>
      <c r="B433" s="174" t="s">
        <v>616</v>
      </c>
      <c r="C433" s="177" t="s">
        <v>8</v>
      </c>
      <c r="D433" s="183">
        <v>22</v>
      </c>
      <c r="E433" s="183">
        <v>27.99</v>
      </c>
      <c r="F433" s="131">
        <f t="shared" si="12"/>
        <v>29.109599999999997</v>
      </c>
      <c r="G433" s="251">
        <f t="shared" si="13"/>
        <v>0.27227272727272722</v>
      </c>
    </row>
    <row r="434" spans="1:7" ht="12.75" customHeight="1" x14ac:dyDescent="0.15">
      <c r="A434" s="387"/>
      <c r="B434" s="174" t="s">
        <v>616</v>
      </c>
      <c r="C434" s="177" t="s">
        <v>620</v>
      </c>
      <c r="D434" s="183">
        <v>32</v>
      </c>
      <c r="E434" s="183">
        <v>27.99</v>
      </c>
      <c r="F434" s="131">
        <f t="shared" si="12"/>
        <v>29.109599999999997</v>
      </c>
      <c r="G434" s="251">
        <f t="shared" si="13"/>
        <v>-0.12531250000000005</v>
      </c>
    </row>
    <row r="435" spans="1:7" ht="12.75" customHeight="1" x14ac:dyDescent="0.15">
      <c r="A435" s="387"/>
      <c r="B435" s="174" t="s">
        <v>616</v>
      </c>
      <c r="C435" s="177" t="s">
        <v>278</v>
      </c>
      <c r="D435" s="183">
        <v>27.99</v>
      </c>
      <c r="E435" s="183">
        <v>29.99</v>
      </c>
      <c r="F435" s="131">
        <f t="shared" si="12"/>
        <v>31.189599999999999</v>
      </c>
      <c r="G435" s="251">
        <f t="shared" si="13"/>
        <v>7.1454090746695176E-2</v>
      </c>
    </row>
    <row r="436" spans="1:7" ht="12.75" customHeight="1" x14ac:dyDescent="0.15">
      <c r="A436" s="387"/>
      <c r="B436" s="174" t="s">
        <v>616</v>
      </c>
      <c r="C436" s="177" t="s">
        <v>622</v>
      </c>
      <c r="D436" s="183">
        <v>35</v>
      </c>
      <c r="E436" s="183">
        <v>29.99</v>
      </c>
      <c r="F436" s="131">
        <f t="shared" si="12"/>
        <v>31.189599999999999</v>
      </c>
      <c r="G436" s="251">
        <f t="shared" si="13"/>
        <v>-0.14314285714285724</v>
      </c>
    </row>
    <row r="437" spans="1:7" ht="12.75" customHeight="1" x14ac:dyDescent="0.15">
      <c r="A437" s="387"/>
      <c r="B437" s="174" t="s">
        <v>623</v>
      </c>
      <c r="C437" s="177" t="s">
        <v>624</v>
      </c>
      <c r="D437" s="183">
        <v>39.99</v>
      </c>
      <c r="E437" s="183">
        <v>44.99</v>
      </c>
      <c r="F437" s="131">
        <f t="shared" si="12"/>
        <v>46.7896</v>
      </c>
      <c r="G437" s="251">
        <f t="shared" si="13"/>
        <v>0.12503125781445368</v>
      </c>
    </row>
    <row r="438" spans="1:7" ht="12.75" customHeight="1" x14ac:dyDescent="0.15">
      <c r="A438" s="387"/>
      <c r="B438" s="174" t="s">
        <v>623</v>
      </c>
      <c r="C438" s="177" t="s">
        <v>622</v>
      </c>
      <c r="D438" s="183">
        <v>39.99</v>
      </c>
      <c r="E438" s="183">
        <v>44.99</v>
      </c>
      <c r="F438" s="131">
        <f t="shared" si="12"/>
        <v>46.7896</v>
      </c>
      <c r="G438" s="251">
        <f t="shared" si="13"/>
        <v>0.12503125781445368</v>
      </c>
    </row>
    <row r="439" spans="1:7" ht="12.75" customHeight="1" x14ac:dyDescent="0.15">
      <c r="A439" s="387"/>
      <c r="B439" s="174" t="s">
        <v>625</v>
      </c>
      <c r="C439" s="177" t="s">
        <v>259</v>
      </c>
      <c r="D439" s="183">
        <v>39.99</v>
      </c>
      <c r="E439" s="183">
        <v>44.99</v>
      </c>
      <c r="F439" s="131">
        <f t="shared" si="12"/>
        <v>46.7896</v>
      </c>
      <c r="G439" s="251">
        <f t="shared" si="13"/>
        <v>0.12503125781445368</v>
      </c>
    </row>
    <row r="440" spans="1:7" ht="12.75" customHeight="1" x14ac:dyDescent="0.15">
      <c r="A440" s="387"/>
      <c r="B440" s="174" t="s">
        <v>625</v>
      </c>
      <c r="C440" s="177" t="s">
        <v>626</v>
      </c>
      <c r="D440" s="183">
        <v>39.99</v>
      </c>
      <c r="E440" s="183">
        <v>44.99</v>
      </c>
      <c r="F440" s="131">
        <f t="shared" si="12"/>
        <v>46.7896</v>
      </c>
      <c r="G440" s="251">
        <f t="shared" si="13"/>
        <v>0.12503125781445368</v>
      </c>
    </row>
    <row r="441" spans="1:7" ht="12.75" customHeight="1" x14ac:dyDescent="0.15">
      <c r="A441" s="387"/>
      <c r="B441" s="174" t="s">
        <v>625</v>
      </c>
      <c r="C441" s="177" t="s">
        <v>627</v>
      </c>
      <c r="D441" s="183">
        <v>39.99</v>
      </c>
      <c r="E441" s="183">
        <v>44.99</v>
      </c>
      <c r="F441" s="131">
        <f t="shared" si="12"/>
        <v>46.7896</v>
      </c>
      <c r="G441" s="251">
        <f t="shared" si="13"/>
        <v>0.12503125781445368</v>
      </c>
    </row>
    <row r="442" spans="1:7" ht="12.75" customHeight="1" x14ac:dyDescent="0.15">
      <c r="A442" s="387"/>
      <c r="B442" s="174" t="s">
        <v>625</v>
      </c>
      <c r="C442" s="177" t="s">
        <v>628</v>
      </c>
      <c r="D442" s="183">
        <v>39.99</v>
      </c>
      <c r="E442" s="183">
        <v>44.99</v>
      </c>
      <c r="F442" s="131">
        <f t="shared" si="12"/>
        <v>46.7896</v>
      </c>
      <c r="G442" s="251">
        <f t="shared" si="13"/>
        <v>0.12503125781445368</v>
      </c>
    </row>
    <row r="443" spans="1:7" ht="12.75" customHeight="1" x14ac:dyDescent="0.15">
      <c r="A443" s="387"/>
      <c r="B443" s="174" t="s">
        <v>625</v>
      </c>
      <c r="C443" s="177" t="s">
        <v>314</v>
      </c>
      <c r="D443" s="183">
        <v>39.99</v>
      </c>
      <c r="E443" s="183">
        <v>44.99</v>
      </c>
      <c r="F443" s="131">
        <f t="shared" si="12"/>
        <v>46.7896</v>
      </c>
      <c r="G443" s="251">
        <f t="shared" si="13"/>
        <v>0.12503125781445368</v>
      </c>
    </row>
    <row r="444" spans="1:7" ht="12.75" customHeight="1" x14ac:dyDescent="0.15">
      <c r="A444" s="387"/>
      <c r="B444" s="174" t="s">
        <v>625</v>
      </c>
      <c r="C444" s="177" t="s">
        <v>629</v>
      </c>
      <c r="D444" s="183">
        <v>39.99</v>
      </c>
      <c r="E444" s="183">
        <v>44.99</v>
      </c>
      <c r="F444" s="131">
        <f t="shared" si="12"/>
        <v>46.7896</v>
      </c>
      <c r="G444" s="251">
        <f t="shared" si="13"/>
        <v>0.12503125781445368</v>
      </c>
    </row>
    <row r="445" spans="1:7" ht="12.75" customHeight="1" x14ac:dyDescent="0.15">
      <c r="A445" s="387"/>
      <c r="B445" s="174" t="s">
        <v>625</v>
      </c>
      <c r="C445" s="177" t="s">
        <v>630</v>
      </c>
      <c r="D445" s="183">
        <v>39.99</v>
      </c>
      <c r="E445" s="183">
        <v>44.99</v>
      </c>
      <c r="F445" s="131">
        <f t="shared" si="12"/>
        <v>46.7896</v>
      </c>
      <c r="G445" s="251">
        <f t="shared" si="13"/>
        <v>0.12503125781445368</v>
      </c>
    </row>
    <row r="446" spans="1:7" ht="12.75" customHeight="1" x14ac:dyDescent="0.15">
      <c r="A446" s="387"/>
      <c r="B446" s="174" t="s">
        <v>632</v>
      </c>
      <c r="C446" s="174"/>
      <c r="D446" s="180">
        <v>35</v>
      </c>
      <c r="E446" s="180">
        <v>37.99</v>
      </c>
      <c r="F446" s="131">
        <f t="shared" si="12"/>
        <v>39.509599999999999</v>
      </c>
      <c r="G446" s="251">
        <f t="shared" si="13"/>
        <v>8.5428571428571409E-2</v>
      </c>
    </row>
    <row r="447" spans="1:7" ht="12.75" customHeight="1" x14ac:dyDescent="0.15">
      <c r="A447" s="388"/>
      <c r="B447" s="174" t="s">
        <v>616</v>
      </c>
      <c r="C447" s="174" t="s">
        <v>929</v>
      </c>
      <c r="D447" s="180">
        <v>22</v>
      </c>
      <c r="E447" s="180">
        <v>27.99</v>
      </c>
      <c r="F447" s="131">
        <f t="shared" si="12"/>
        <v>29.109599999999997</v>
      </c>
      <c r="G447" s="251">
        <f t="shared" si="13"/>
        <v>0.27227272727272722</v>
      </c>
    </row>
    <row r="448" spans="1:7" ht="12.75" customHeight="1" x14ac:dyDescent="0.15">
      <c r="A448" s="445" t="s">
        <v>914</v>
      </c>
      <c r="B448" s="446"/>
      <c r="C448" s="446"/>
      <c r="D448" s="446"/>
      <c r="E448" s="446"/>
      <c r="F448" s="447"/>
    </row>
    <row r="449" spans="1:7" ht="12.75" customHeight="1" x14ac:dyDescent="0.15">
      <c r="A449" s="283" t="s">
        <v>915</v>
      </c>
      <c r="B449" s="284" t="s">
        <v>769</v>
      </c>
      <c r="C449" s="284" t="s">
        <v>916</v>
      </c>
      <c r="D449" s="285" t="s">
        <v>917</v>
      </c>
      <c r="E449" s="285" t="s">
        <v>917</v>
      </c>
      <c r="F449" s="286" t="s">
        <v>772</v>
      </c>
      <c r="G449" s="287" t="s">
        <v>773</v>
      </c>
    </row>
    <row r="450" spans="1:7" ht="12.75" customHeight="1" x14ac:dyDescent="0.15">
      <c r="A450" s="436" t="s">
        <v>684</v>
      </c>
      <c r="B450" s="444" t="s">
        <v>918</v>
      </c>
      <c r="C450" s="100" t="s">
        <v>686</v>
      </c>
      <c r="D450" s="225">
        <v>59.99</v>
      </c>
      <c r="E450" s="225">
        <v>59.99</v>
      </c>
      <c r="F450" s="240">
        <f t="shared" ref="F450:F474" si="14">D450*1.04</f>
        <v>62.389600000000002</v>
      </c>
      <c r="G450" s="243">
        <f t="shared" ref="G450:G474" si="15">D450*1.25</f>
        <v>74.987499999999997</v>
      </c>
    </row>
    <row r="451" spans="1:7" ht="12.75" customHeight="1" x14ac:dyDescent="0.15">
      <c r="A451" s="380"/>
      <c r="B451" s="368"/>
      <c r="C451" s="104" t="s">
        <v>687</v>
      </c>
      <c r="D451" s="200">
        <f t="shared" ref="D451:E451" si="16">D450+21.99</f>
        <v>81.98</v>
      </c>
      <c r="E451" s="200">
        <f t="shared" si="16"/>
        <v>81.98</v>
      </c>
      <c r="F451" s="241">
        <f t="shared" si="14"/>
        <v>85.259200000000007</v>
      </c>
      <c r="G451" s="244">
        <f t="shared" si="15"/>
        <v>102.47500000000001</v>
      </c>
    </row>
    <row r="452" spans="1:7" ht="12.75" customHeight="1" x14ac:dyDescent="0.15">
      <c r="A452" s="380"/>
      <c r="B452" s="368"/>
      <c r="C452" s="104" t="s">
        <v>689</v>
      </c>
      <c r="D452" s="200">
        <f t="shared" ref="D452:E452" si="17">D450+24.99</f>
        <v>84.98</v>
      </c>
      <c r="E452" s="200">
        <f t="shared" si="17"/>
        <v>84.98</v>
      </c>
      <c r="F452" s="241">
        <f t="shared" si="14"/>
        <v>88.379200000000012</v>
      </c>
      <c r="G452" s="244">
        <f t="shared" si="15"/>
        <v>106.22500000000001</v>
      </c>
    </row>
    <row r="453" spans="1:7" ht="12.75" customHeight="1" x14ac:dyDescent="0.15">
      <c r="A453" s="380"/>
      <c r="B453" s="368"/>
      <c r="C453" s="104" t="s">
        <v>691</v>
      </c>
      <c r="D453" s="200">
        <f t="shared" ref="D453:E453" si="18">D450+27.99</f>
        <v>87.98</v>
      </c>
      <c r="E453" s="200">
        <f t="shared" si="18"/>
        <v>87.98</v>
      </c>
      <c r="F453" s="241">
        <f t="shared" si="14"/>
        <v>91.499200000000002</v>
      </c>
      <c r="G453" s="244">
        <f t="shared" si="15"/>
        <v>109.97500000000001</v>
      </c>
    </row>
    <row r="454" spans="1:7" ht="12.75" customHeight="1" x14ac:dyDescent="0.15">
      <c r="A454" s="381"/>
      <c r="B454" s="378"/>
      <c r="C454" s="110" t="s">
        <v>693</v>
      </c>
      <c r="D454" s="199">
        <f t="shared" ref="D454:E454" si="19">D450+24.99</f>
        <v>84.98</v>
      </c>
      <c r="E454" s="199">
        <f t="shared" si="19"/>
        <v>84.98</v>
      </c>
      <c r="F454" s="248">
        <f t="shared" si="14"/>
        <v>88.379200000000012</v>
      </c>
      <c r="G454" s="249">
        <f t="shared" si="15"/>
        <v>106.22500000000001</v>
      </c>
    </row>
    <row r="455" spans="1:7" ht="12.75" customHeight="1" x14ac:dyDescent="0.15">
      <c r="A455" s="436" t="s">
        <v>919</v>
      </c>
      <c r="B455" s="444" t="s">
        <v>920</v>
      </c>
      <c r="C455" s="100" t="s">
        <v>686</v>
      </c>
      <c r="D455" s="225">
        <v>29.99</v>
      </c>
      <c r="E455" s="225">
        <v>29.99</v>
      </c>
      <c r="F455" s="240">
        <f t="shared" si="14"/>
        <v>31.189599999999999</v>
      </c>
      <c r="G455" s="243">
        <f t="shared" si="15"/>
        <v>37.487499999999997</v>
      </c>
    </row>
    <row r="456" spans="1:7" ht="12.75" customHeight="1" x14ac:dyDescent="0.15">
      <c r="A456" s="380"/>
      <c r="B456" s="368"/>
      <c r="C456" s="104" t="s">
        <v>687</v>
      </c>
      <c r="D456" s="200">
        <f t="shared" ref="D456:E456" si="20">D455+21.99</f>
        <v>51.98</v>
      </c>
      <c r="E456" s="200">
        <f t="shared" si="20"/>
        <v>51.98</v>
      </c>
      <c r="F456" s="241">
        <f t="shared" si="14"/>
        <v>54.059199999999997</v>
      </c>
      <c r="G456" s="244">
        <f t="shared" si="15"/>
        <v>64.974999999999994</v>
      </c>
    </row>
    <row r="457" spans="1:7" ht="12.75" customHeight="1" x14ac:dyDescent="0.15">
      <c r="A457" s="380"/>
      <c r="B457" s="368"/>
      <c r="C457" s="104" t="s">
        <v>689</v>
      </c>
      <c r="D457" s="200">
        <f t="shared" ref="D457:E457" si="21">D455+24.99</f>
        <v>54.98</v>
      </c>
      <c r="E457" s="200">
        <f t="shared" si="21"/>
        <v>54.98</v>
      </c>
      <c r="F457" s="241">
        <f t="shared" si="14"/>
        <v>57.179200000000002</v>
      </c>
      <c r="G457" s="244">
        <f t="shared" si="15"/>
        <v>68.724999999999994</v>
      </c>
    </row>
    <row r="458" spans="1:7" ht="12.75" customHeight="1" x14ac:dyDescent="0.15">
      <c r="A458" s="380"/>
      <c r="B458" s="368"/>
      <c r="C458" s="104" t="s">
        <v>691</v>
      </c>
      <c r="D458" s="200">
        <f t="shared" ref="D458:E458" si="22">D455+27.99</f>
        <v>57.98</v>
      </c>
      <c r="E458" s="200">
        <f t="shared" si="22"/>
        <v>57.98</v>
      </c>
      <c r="F458" s="241">
        <f t="shared" si="14"/>
        <v>60.299199999999999</v>
      </c>
      <c r="G458" s="244">
        <f t="shared" si="15"/>
        <v>72.474999999999994</v>
      </c>
    </row>
    <row r="459" spans="1:7" ht="12.75" customHeight="1" x14ac:dyDescent="0.15">
      <c r="A459" s="381"/>
      <c r="B459" s="378"/>
      <c r="C459" s="110" t="s">
        <v>693</v>
      </c>
      <c r="D459" s="199">
        <f t="shared" ref="D459:E459" si="23">D455+24.99</f>
        <v>54.98</v>
      </c>
      <c r="E459" s="199">
        <f t="shared" si="23"/>
        <v>54.98</v>
      </c>
      <c r="F459" s="248">
        <f t="shared" si="14"/>
        <v>57.179200000000002</v>
      </c>
      <c r="G459" s="249">
        <f t="shared" si="15"/>
        <v>68.724999999999994</v>
      </c>
    </row>
    <row r="460" spans="1:7" ht="12.75" customHeight="1" x14ac:dyDescent="0.15">
      <c r="A460" s="436" t="s">
        <v>921</v>
      </c>
      <c r="B460" s="444" t="s">
        <v>922</v>
      </c>
      <c r="C460" s="100" t="s">
        <v>686</v>
      </c>
      <c r="D460" s="225">
        <v>35.99</v>
      </c>
      <c r="E460" s="225">
        <v>35.99</v>
      </c>
      <c r="F460" s="240">
        <f t="shared" si="14"/>
        <v>37.429600000000001</v>
      </c>
      <c r="G460" s="243">
        <f t="shared" si="15"/>
        <v>44.987500000000004</v>
      </c>
    </row>
    <row r="461" spans="1:7" ht="12.75" customHeight="1" x14ac:dyDescent="0.15">
      <c r="A461" s="380"/>
      <c r="B461" s="368"/>
      <c r="C461" s="104" t="s">
        <v>687</v>
      </c>
      <c r="D461" s="200">
        <f t="shared" ref="D461:E461" si="24">D460+21.99</f>
        <v>57.980000000000004</v>
      </c>
      <c r="E461" s="200">
        <f t="shared" si="24"/>
        <v>57.980000000000004</v>
      </c>
      <c r="F461" s="241">
        <f t="shared" si="14"/>
        <v>60.299200000000006</v>
      </c>
      <c r="G461" s="244">
        <f t="shared" si="15"/>
        <v>72.475000000000009</v>
      </c>
    </row>
    <row r="462" spans="1:7" ht="12.75" customHeight="1" x14ac:dyDescent="0.15">
      <c r="A462" s="380"/>
      <c r="B462" s="368"/>
      <c r="C462" s="104" t="s">
        <v>689</v>
      </c>
      <c r="D462" s="200">
        <f t="shared" ref="D462:E462" si="25">D460+24.99</f>
        <v>60.980000000000004</v>
      </c>
      <c r="E462" s="200">
        <f t="shared" si="25"/>
        <v>60.980000000000004</v>
      </c>
      <c r="F462" s="241">
        <f t="shared" si="14"/>
        <v>63.419200000000004</v>
      </c>
      <c r="G462" s="244">
        <f t="shared" si="15"/>
        <v>76.225000000000009</v>
      </c>
    </row>
    <row r="463" spans="1:7" ht="12.75" customHeight="1" x14ac:dyDescent="0.15">
      <c r="A463" s="380"/>
      <c r="B463" s="368"/>
      <c r="C463" s="104" t="s">
        <v>691</v>
      </c>
      <c r="D463" s="200">
        <f t="shared" ref="D463:E463" si="26">D460+27.99</f>
        <v>63.980000000000004</v>
      </c>
      <c r="E463" s="200">
        <f t="shared" si="26"/>
        <v>63.980000000000004</v>
      </c>
      <c r="F463" s="241">
        <f t="shared" si="14"/>
        <v>66.539200000000008</v>
      </c>
      <c r="G463" s="244">
        <f t="shared" si="15"/>
        <v>79.975000000000009</v>
      </c>
    </row>
    <row r="464" spans="1:7" ht="12.75" customHeight="1" x14ac:dyDescent="0.15">
      <c r="A464" s="380"/>
      <c r="B464" s="368"/>
      <c r="C464" s="104" t="s">
        <v>693</v>
      </c>
      <c r="D464" s="200">
        <f t="shared" ref="D464:E464" si="27">D460+24.99</f>
        <v>60.980000000000004</v>
      </c>
      <c r="E464" s="200">
        <f t="shared" si="27"/>
        <v>60.980000000000004</v>
      </c>
      <c r="F464" s="241">
        <f t="shared" si="14"/>
        <v>63.419200000000004</v>
      </c>
      <c r="G464" s="244">
        <f t="shared" si="15"/>
        <v>76.225000000000009</v>
      </c>
    </row>
    <row r="465" spans="1:7" ht="12.75" customHeight="1" x14ac:dyDescent="0.15">
      <c r="A465" s="381"/>
      <c r="B465" s="378"/>
      <c r="C465" s="110" t="s">
        <v>694</v>
      </c>
      <c r="D465" s="199">
        <f t="shared" ref="D465:E465" si="28">D460+34.99</f>
        <v>70.98</v>
      </c>
      <c r="E465" s="199">
        <f t="shared" si="28"/>
        <v>70.98</v>
      </c>
      <c r="F465" s="248">
        <f t="shared" si="14"/>
        <v>73.819200000000009</v>
      </c>
      <c r="G465" s="249">
        <f t="shared" si="15"/>
        <v>88.725000000000009</v>
      </c>
    </row>
    <row r="466" spans="1:7" ht="12.75" customHeight="1" x14ac:dyDescent="0.15">
      <c r="A466" s="436" t="s">
        <v>923</v>
      </c>
      <c r="B466" s="444" t="s">
        <v>924</v>
      </c>
      <c r="C466" s="100" t="s">
        <v>686</v>
      </c>
      <c r="D466" s="225">
        <v>21.98</v>
      </c>
      <c r="E466" s="225">
        <v>21.98</v>
      </c>
      <c r="F466" s="240">
        <f t="shared" si="14"/>
        <v>22.859200000000001</v>
      </c>
      <c r="G466" s="243">
        <f t="shared" si="15"/>
        <v>27.475000000000001</v>
      </c>
    </row>
    <row r="467" spans="1:7" ht="12.75" customHeight="1" x14ac:dyDescent="0.15">
      <c r="A467" s="380"/>
      <c r="B467" s="368"/>
      <c r="C467" s="104" t="s">
        <v>687</v>
      </c>
      <c r="D467" s="200">
        <f t="shared" ref="D467:E467" si="29">D466+22.99</f>
        <v>44.97</v>
      </c>
      <c r="E467" s="200">
        <f t="shared" si="29"/>
        <v>44.97</v>
      </c>
      <c r="F467" s="241">
        <f t="shared" si="14"/>
        <v>46.768799999999999</v>
      </c>
      <c r="G467" s="244">
        <f t="shared" si="15"/>
        <v>56.212499999999999</v>
      </c>
    </row>
    <row r="468" spans="1:7" ht="12.75" customHeight="1" x14ac:dyDescent="0.15">
      <c r="A468" s="380"/>
      <c r="B468" s="368"/>
      <c r="C468" s="104" t="s">
        <v>689</v>
      </c>
      <c r="D468" s="200">
        <f t="shared" ref="D468:E468" si="30">D466+25.99</f>
        <v>47.97</v>
      </c>
      <c r="E468" s="200">
        <f t="shared" si="30"/>
        <v>47.97</v>
      </c>
      <c r="F468" s="241">
        <f t="shared" si="14"/>
        <v>49.888800000000003</v>
      </c>
      <c r="G468" s="244">
        <f t="shared" si="15"/>
        <v>59.962499999999999</v>
      </c>
    </row>
    <row r="469" spans="1:7" ht="12.75" customHeight="1" x14ac:dyDescent="0.15">
      <c r="A469" s="380"/>
      <c r="B469" s="368"/>
      <c r="C469" s="104" t="s">
        <v>691</v>
      </c>
      <c r="D469" s="200">
        <f t="shared" ref="D469:E469" si="31">D466+27.99</f>
        <v>49.97</v>
      </c>
      <c r="E469" s="200">
        <f t="shared" si="31"/>
        <v>49.97</v>
      </c>
      <c r="F469" s="241">
        <f t="shared" si="14"/>
        <v>51.968800000000002</v>
      </c>
      <c r="G469" s="244">
        <f t="shared" si="15"/>
        <v>62.462499999999999</v>
      </c>
    </row>
    <row r="470" spans="1:7" ht="12.75" customHeight="1" x14ac:dyDescent="0.15">
      <c r="A470" s="380"/>
      <c r="B470" s="368"/>
      <c r="C470" s="104" t="s">
        <v>693</v>
      </c>
      <c r="D470" s="200">
        <f t="shared" ref="D470:E470" si="32">D466+24.99</f>
        <v>46.97</v>
      </c>
      <c r="E470" s="200">
        <f t="shared" si="32"/>
        <v>46.97</v>
      </c>
      <c r="F470" s="241">
        <f t="shared" si="14"/>
        <v>48.848799999999997</v>
      </c>
      <c r="G470" s="244">
        <f t="shared" si="15"/>
        <v>58.712499999999999</v>
      </c>
    </row>
    <row r="471" spans="1:7" ht="12.75" customHeight="1" x14ac:dyDescent="0.15">
      <c r="A471" s="381"/>
      <c r="B471" s="378"/>
      <c r="C471" s="110" t="s">
        <v>694</v>
      </c>
      <c r="D471" s="199">
        <f t="shared" ref="D471:E471" si="33">D466+34.99</f>
        <v>56.97</v>
      </c>
      <c r="E471" s="199">
        <f t="shared" si="33"/>
        <v>56.97</v>
      </c>
      <c r="F471" s="248">
        <f t="shared" si="14"/>
        <v>59.248800000000003</v>
      </c>
      <c r="G471" s="249">
        <f t="shared" si="15"/>
        <v>71.212500000000006</v>
      </c>
    </row>
    <row r="472" spans="1:7" ht="12.75" customHeight="1" x14ac:dyDescent="0.15">
      <c r="A472" s="288" t="s">
        <v>702</v>
      </c>
      <c r="B472" s="289" t="s">
        <v>925</v>
      </c>
      <c r="C472" s="290"/>
      <c r="D472" s="203">
        <v>31</v>
      </c>
      <c r="E472" s="203">
        <v>31</v>
      </c>
      <c r="F472" s="291">
        <f t="shared" si="14"/>
        <v>32.24</v>
      </c>
      <c r="G472" s="207">
        <f t="shared" si="15"/>
        <v>38.75</v>
      </c>
    </row>
    <row r="473" spans="1:7" ht="12.75" customHeight="1" x14ac:dyDescent="0.15">
      <c r="A473" s="288" t="s">
        <v>704</v>
      </c>
      <c r="B473" s="289" t="s">
        <v>926</v>
      </c>
      <c r="C473" s="290"/>
      <c r="D473" s="205">
        <v>37.99</v>
      </c>
      <c r="E473" s="205">
        <v>37.99</v>
      </c>
      <c r="F473" s="291">
        <f t="shared" si="14"/>
        <v>39.509600000000006</v>
      </c>
      <c r="G473" s="207">
        <f t="shared" si="15"/>
        <v>47.487500000000004</v>
      </c>
    </row>
    <row r="474" spans="1:7" ht="12.75" customHeight="1" x14ac:dyDescent="0.15">
      <c r="A474" s="288" t="s">
        <v>706</v>
      </c>
      <c r="B474" s="289" t="s">
        <v>707</v>
      </c>
      <c r="C474" s="290"/>
      <c r="D474" s="207">
        <v>42.99</v>
      </c>
      <c r="E474" s="207">
        <v>42.99</v>
      </c>
      <c r="F474" s="291">
        <f t="shared" si="14"/>
        <v>44.709600000000002</v>
      </c>
      <c r="G474" s="207">
        <f t="shared" si="15"/>
        <v>53.737500000000004</v>
      </c>
    </row>
    <row r="475" spans="1:7" ht="12.75" customHeight="1" x14ac:dyDescent="0.15"/>
    <row r="476" spans="1:7" ht="12.75" customHeight="1" x14ac:dyDescent="0.15"/>
    <row r="477" spans="1:7" ht="12.75" customHeight="1" x14ac:dyDescent="0.15"/>
    <row r="478" spans="1:7" ht="12.75" customHeight="1" x14ac:dyDescent="0.15"/>
    <row r="479" spans="1:7" ht="12.75" customHeight="1" x14ac:dyDescent="0.15"/>
    <row r="480" spans="1:7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  <row r="1001" ht="12.75" customHeight="1" x14ac:dyDescent="0.15"/>
    <row r="1002" ht="12.75" customHeight="1" x14ac:dyDescent="0.15"/>
    <row r="1003" ht="12.75" customHeight="1" x14ac:dyDescent="0.15"/>
    <row r="1004" ht="12.75" customHeight="1" x14ac:dyDescent="0.15"/>
    <row r="1005" ht="12.75" customHeight="1" x14ac:dyDescent="0.15"/>
    <row r="1006" ht="12.75" customHeight="1" x14ac:dyDescent="0.15"/>
    <row r="1007" ht="12.75" customHeight="1" x14ac:dyDescent="0.15"/>
    <row r="1008" ht="12.75" customHeight="1" x14ac:dyDescent="0.15"/>
    <row r="1009" ht="12.75" customHeight="1" x14ac:dyDescent="0.15"/>
    <row r="1010" ht="12.75" customHeight="1" x14ac:dyDescent="0.15"/>
    <row r="1011" ht="12.75" customHeight="1" x14ac:dyDescent="0.15"/>
    <row r="1012" ht="12.75" customHeight="1" x14ac:dyDescent="0.15"/>
    <row r="1013" ht="12.75" customHeight="1" x14ac:dyDescent="0.15"/>
  </sheetData>
  <mergeCells count="95">
    <mergeCell ref="B193:B199"/>
    <mergeCell ref="B200:B201"/>
    <mergeCell ref="B162:B166"/>
    <mergeCell ref="B167:B170"/>
    <mergeCell ref="B98:B100"/>
    <mergeCell ref="B102:B103"/>
    <mergeCell ref="B104:B105"/>
    <mergeCell ref="B113:B115"/>
    <mergeCell ref="B144:B154"/>
    <mergeCell ref="B155:B158"/>
    <mergeCell ref="B159:B161"/>
    <mergeCell ref="B232:B239"/>
    <mergeCell ref="B240:B245"/>
    <mergeCell ref="A133:A143"/>
    <mergeCell ref="A144:A220"/>
    <mergeCell ref="A221:A245"/>
    <mergeCell ref="B221:B224"/>
    <mergeCell ref="B225:B227"/>
    <mergeCell ref="B228:B229"/>
    <mergeCell ref="B230:B231"/>
    <mergeCell ref="B202:B210"/>
    <mergeCell ref="B211:B220"/>
    <mergeCell ref="B171:B178"/>
    <mergeCell ref="B179:B185"/>
    <mergeCell ref="B186:B187"/>
    <mergeCell ref="B188:B190"/>
    <mergeCell ref="B191:B192"/>
    <mergeCell ref="B278:B280"/>
    <mergeCell ref="B281:B288"/>
    <mergeCell ref="B289:B296"/>
    <mergeCell ref="B297:B298"/>
    <mergeCell ref="B299:B301"/>
    <mergeCell ref="B460:B465"/>
    <mergeCell ref="B466:B471"/>
    <mergeCell ref="A460:A465"/>
    <mergeCell ref="A466:A471"/>
    <mergeCell ref="B302:B305"/>
    <mergeCell ref="B306:B307"/>
    <mergeCell ref="B308:B309"/>
    <mergeCell ref="B310:B314"/>
    <mergeCell ref="B315:B317"/>
    <mergeCell ref="A335:A392"/>
    <mergeCell ref="A393:A447"/>
    <mergeCell ref="A450:A454"/>
    <mergeCell ref="A455:A459"/>
    <mergeCell ref="A448:F448"/>
    <mergeCell ref="B450:B454"/>
    <mergeCell ref="B455:B459"/>
    <mergeCell ref="B318:B321"/>
    <mergeCell ref="B31:B32"/>
    <mergeCell ref="B33:B34"/>
    <mergeCell ref="A2:A16"/>
    <mergeCell ref="B2:B12"/>
    <mergeCell ref="B15:B16"/>
    <mergeCell ref="A17:A34"/>
    <mergeCell ref="B17:B21"/>
    <mergeCell ref="B22:B27"/>
    <mergeCell ref="B28:B30"/>
    <mergeCell ref="A35:A41"/>
    <mergeCell ref="B35:B40"/>
    <mergeCell ref="A42:A44"/>
    <mergeCell ref="B42:B43"/>
    <mergeCell ref="A45:A49"/>
    <mergeCell ref="A246:A259"/>
    <mergeCell ref="B45:B46"/>
    <mergeCell ref="B56:B57"/>
    <mergeCell ref="B50:B53"/>
    <mergeCell ref="B54:B55"/>
    <mergeCell ref="B61:B62"/>
    <mergeCell ref="B66:B67"/>
    <mergeCell ref="B68:B69"/>
    <mergeCell ref="B76:B77"/>
    <mergeCell ref="B78:B79"/>
    <mergeCell ref="A50:A58"/>
    <mergeCell ref="A59:A62"/>
    <mergeCell ref="A63:A65"/>
    <mergeCell ref="A66:A69"/>
    <mergeCell ref="A70:A77"/>
    <mergeCell ref="A78:A108"/>
    <mergeCell ref="B269:B272"/>
    <mergeCell ref="B273:B277"/>
    <mergeCell ref="A109:A132"/>
    <mergeCell ref="B80:B82"/>
    <mergeCell ref="B83:B85"/>
    <mergeCell ref="B86:B88"/>
    <mergeCell ref="B89:B90"/>
    <mergeCell ref="B91:B92"/>
    <mergeCell ref="B94:B95"/>
    <mergeCell ref="B96:B97"/>
    <mergeCell ref="B260:B268"/>
    <mergeCell ref="B246:B247"/>
    <mergeCell ref="B248:B250"/>
    <mergeCell ref="B251:B252"/>
    <mergeCell ref="B253:B259"/>
    <mergeCell ref="A260:A321"/>
  </mergeCells>
  <pageMargins left="0.25" right="0.25" top="0.75" bottom="0.75" header="0" footer="0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1000"/>
  <sheetViews>
    <sheetView workbookViewId="0"/>
  </sheetViews>
  <sheetFormatPr baseColWidth="10" defaultColWidth="12.5" defaultRowHeight="15" customHeight="1" x14ac:dyDescent="0.15"/>
  <cols>
    <col min="1" max="1" width="12.5" customWidth="1"/>
    <col min="2" max="2" width="24.5" customWidth="1"/>
    <col min="3" max="3" width="39.83203125" customWidth="1"/>
    <col min="4" max="4" width="15.5" customWidth="1"/>
    <col min="5" max="5" width="18.5" customWidth="1"/>
    <col min="6" max="6" width="12.5" customWidth="1"/>
  </cols>
  <sheetData>
    <row r="1" spans="1:6" ht="12.75" customHeight="1" x14ac:dyDescent="0.15">
      <c r="A1" s="1" t="s">
        <v>930</v>
      </c>
      <c r="B1" s="1" t="s">
        <v>931</v>
      </c>
      <c r="C1" s="3" t="s">
        <v>2</v>
      </c>
      <c r="D1" s="121" t="s">
        <v>715</v>
      </c>
      <c r="E1" s="122" t="s">
        <v>716</v>
      </c>
      <c r="F1" s="123" t="s">
        <v>717</v>
      </c>
    </row>
    <row r="2" spans="1:6" ht="12.75" hidden="1" customHeight="1" x14ac:dyDescent="0.15">
      <c r="A2" s="28">
        <v>1</v>
      </c>
      <c r="B2" s="308" t="s">
        <v>123</v>
      </c>
      <c r="C2" s="44" t="s">
        <v>124</v>
      </c>
      <c r="D2" s="141">
        <v>21.99</v>
      </c>
      <c r="E2" s="131">
        <v>21.99</v>
      </c>
      <c r="F2" s="251">
        <f t="shared" ref="F2:F56" si="0">+(E2/D2)-1</f>
        <v>0</v>
      </c>
    </row>
    <row r="3" spans="1:6" ht="12.75" hidden="1" customHeight="1" x14ac:dyDescent="0.15">
      <c r="A3" s="28">
        <v>1</v>
      </c>
      <c r="B3" s="308" t="s">
        <v>123</v>
      </c>
      <c r="C3" s="46" t="s">
        <v>125</v>
      </c>
      <c r="D3" s="70">
        <v>24.99</v>
      </c>
      <c r="E3" s="133">
        <v>24.99</v>
      </c>
      <c r="F3" s="251">
        <f t="shared" si="0"/>
        <v>0</v>
      </c>
    </row>
    <row r="4" spans="1:6" ht="12.75" hidden="1" customHeight="1" x14ac:dyDescent="0.15">
      <c r="A4" s="28">
        <v>1</v>
      </c>
      <c r="B4" s="308" t="s">
        <v>128</v>
      </c>
      <c r="C4" s="46" t="s">
        <v>129</v>
      </c>
      <c r="D4" s="70">
        <v>1.89</v>
      </c>
      <c r="E4" s="133">
        <v>1.89</v>
      </c>
      <c r="F4" s="251">
        <f t="shared" si="0"/>
        <v>0</v>
      </c>
    </row>
    <row r="5" spans="1:6" ht="12.75" hidden="1" customHeight="1" x14ac:dyDescent="0.15">
      <c r="A5" s="28">
        <v>1</v>
      </c>
      <c r="B5" s="308" t="s">
        <v>128</v>
      </c>
      <c r="C5" s="46" t="s">
        <v>130</v>
      </c>
      <c r="D5" s="70">
        <v>2.39</v>
      </c>
      <c r="E5" s="133">
        <v>2.39</v>
      </c>
      <c r="F5" s="251">
        <f t="shared" si="0"/>
        <v>0</v>
      </c>
    </row>
    <row r="6" spans="1:6" ht="12.75" hidden="1" customHeight="1" x14ac:dyDescent="0.15">
      <c r="A6" s="28">
        <v>1</v>
      </c>
      <c r="B6" s="308" t="s">
        <v>128</v>
      </c>
      <c r="C6" s="46" t="s">
        <v>131</v>
      </c>
      <c r="D6" s="70">
        <v>3.25</v>
      </c>
      <c r="E6" s="133">
        <v>3.25</v>
      </c>
      <c r="F6" s="251">
        <f t="shared" si="0"/>
        <v>0</v>
      </c>
    </row>
    <row r="7" spans="1:6" ht="12.75" customHeight="1" x14ac:dyDescent="0.15">
      <c r="A7" s="28">
        <v>1</v>
      </c>
      <c r="B7" s="308" t="s">
        <v>125</v>
      </c>
      <c r="C7" s="46" t="s">
        <v>129</v>
      </c>
      <c r="D7" s="70">
        <v>2.59</v>
      </c>
      <c r="E7" s="133">
        <v>2.85</v>
      </c>
      <c r="F7" s="251">
        <f t="shared" si="0"/>
        <v>0.10038610038610041</v>
      </c>
    </row>
    <row r="8" spans="1:6" ht="12.75" customHeight="1" x14ac:dyDescent="0.15">
      <c r="A8" s="28">
        <v>1</v>
      </c>
      <c r="B8" s="308" t="s">
        <v>125</v>
      </c>
      <c r="C8" s="46" t="s">
        <v>130</v>
      </c>
      <c r="D8" s="70">
        <v>3.49</v>
      </c>
      <c r="E8" s="133">
        <v>3.79</v>
      </c>
      <c r="F8" s="251">
        <f t="shared" si="0"/>
        <v>8.5959885386819535E-2</v>
      </c>
    </row>
    <row r="9" spans="1:6" ht="12.75" hidden="1" customHeight="1" x14ac:dyDescent="0.15">
      <c r="A9" s="28">
        <v>1</v>
      </c>
      <c r="B9" s="308" t="s">
        <v>125</v>
      </c>
      <c r="C9" s="46" t="s">
        <v>131</v>
      </c>
      <c r="D9" s="70">
        <v>4.99</v>
      </c>
      <c r="E9" s="133">
        <v>4.99</v>
      </c>
      <c r="F9" s="251">
        <f t="shared" si="0"/>
        <v>0</v>
      </c>
    </row>
    <row r="10" spans="1:6" ht="12.75" customHeight="1" x14ac:dyDescent="0.15">
      <c r="A10" s="28">
        <v>1</v>
      </c>
      <c r="B10" s="308" t="s">
        <v>132</v>
      </c>
      <c r="C10" s="46" t="s">
        <v>129</v>
      </c>
      <c r="D10" s="70">
        <v>2.79</v>
      </c>
      <c r="E10" s="133">
        <v>2.99</v>
      </c>
      <c r="F10" s="251">
        <f t="shared" si="0"/>
        <v>7.1684587813620082E-2</v>
      </c>
    </row>
    <row r="11" spans="1:6" ht="12.75" hidden="1" customHeight="1" x14ac:dyDescent="0.15">
      <c r="A11" s="28">
        <v>1</v>
      </c>
      <c r="B11" s="308" t="s">
        <v>132</v>
      </c>
      <c r="C11" s="46" t="s">
        <v>130</v>
      </c>
      <c r="D11" s="70">
        <v>3.99</v>
      </c>
      <c r="E11" s="133">
        <v>3.99</v>
      </c>
      <c r="F11" s="251">
        <f t="shared" si="0"/>
        <v>0</v>
      </c>
    </row>
    <row r="12" spans="1:6" ht="12.75" hidden="1" customHeight="1" x14ac:dyDescent="0.15">
      <c r="A12" s="28">
        <v>1</v>
      </c>
      <c r="B12" s="308" t="s">
        <v>132</v>
      </c>
      <c r="C12" s="46" t="s">
        <v>131</v>
      </c>
      <c r="D12" s="70">
        <v>4.99</v>
      </c>
      <c r="E12" s="133">
        <v>4.99</v>
      </c>
      <c r="F12" s="251">
        <f t="shared" si="0"/>
        <v>0</v>
      </c>
    </row>
    <row r="13" spans="1:6" ht="12.75" hidden="1" customHeight="1" x14ac:dyDescent="0.15">
      <c r="A13" s="28">
        <v>1</v>
      </c>
      <c r="B13" s="16" t="s">
        <v>133</v>
      </c>
      <c r="C13" s="46" t="s">
        <v>130</v>
      </c>
      <c r="D13" s="70">
        <v>3.99</v>
      </c>
      <c r="E13" s="133">
        <v>3.99</v>
      </c>
      <c r="F13" s="251">
        <f t="shared" si="0"/>
        <v>0</v>
      </c>
    </row>
    <row r="14" spans="1:6" ht="12.75" hidden="1" customHeight="1" x14ac:dyDescent="0.15">
      <c r="A14" s="28">
        <v>1</v>
      </c>
      <c r="B14" s="16" t="s">
        <v>133</v>
      </c>
      <c r="C14" s="46" t="s">
        <v>131</v>
      </c>
      <c r="D14" s="70">
        <v>4.99</v>
      </c>
      <c r="E14" s="133">
        <v>4.99</v>
      </c>
      <c r="F14" s="251">
        <f t="shared" si="0"/>
        <v>0</v>
      </c>
    </row>
    <row r="15" spans="1:6" ht="12.75" customHeight="1" x14ac:dyDescent="0.15">
      <c r="A15" s="28">
        <v>1</v>
      </c>
      <c r="B15" s="309" t="s">
        <v>134</v>
      </c>
      <c r="C15" s="46" t="s">
        <v>135</v>
      </c>
      <c r="D15" s="70">
        <v>2.25</v>
      </c>
      <c r="E15" s="133">
        <v>2.4900000000000002</v>
      </c>
      <c r="F15" s="251">
        <f t="shared" si="0"/>
        <v>0.10666666666666669</v>
      </c>
    </row>
    <row r="16" spans="1:6" ht="12.75" customHeight="1" x14ac:dyDescent="0.15">
      <c r="A16" s="28">
        <v>1</v>
      </c>
      <c r="B16" s="309" t="s">
        <v>134</v>
      </c>
      <c r="C16" s="59" t="s">
        <v>136</v>
      </c>
      <c r="D16" s="144">
        <v>2.4900000000000002</v>
      </c>
      <c r="E16" s="133">
        <v>2.69</v>
      </c>
      <c r="F16" s="251">
        <f t="shared" si="0"/>
        <v>8.0321285140562138E-2</v>
      </c>
    </row>
    <row r="17" spans="1:6" ht="12.75" customHeight="1" x14ac:dyDescent="0.15">
      <c r="A17" s="28">
        <v>1</v>
      </c>
      <c r="B17" s="308" t="s">
        <v>139</v>
      </c>
      <c r="C17" s="61" t="s">
        <v>140</v>
      </c>
      <c r="D17" s="141">
        <v>1.39</v>
      </c>
      <c r="E17" s="131">
        <v>1.59</v>
      </c>
      <c r="F17" s="251">
        <f t="shared" si="0"/>
        <v>0.14388489208633115</v>
      </c>
    </row>
    <row r="18" spans="1:6" ht="12.75" customHeight="1" x14ac:dyDescent="0.15">
      <c r="A18" s="28">
        <v>1</v>
      </c>
      <c r="B18" s="308" t="s">
        <v>139</v>
      </c>
      <c r="C18" s="42" t="s">
        <v>135</v>
      </c>
      <c r="D18" s="70">
        <v>1.89</v>
      </c>
      <c r="E18" s="133">
        <v>2.25</v>
      </c>
      <c r="F18" s="251">
        <f t="shared" si="0"/>
        <v>0.19047619047619047</v>
      </c>
    </row>
    <row r="19" spans="1:6" ht="12.75" customHeight="1" x14ac:dyDescent="0.15">
      <c r="A19" s="28">
        <v>1</v>
      </c>
      <c r="B19" s="310" t="s">
        <v>141</v>
      </c>
      <c r="C19" s="42" t="s">
        <v>140</v>
      </c>
      <c r="D19" s="70">
        <v>1.49</v>
      </c>
      <c r="E19" s="133">
        <v>1.69</v>
      </c>
      <c r="F19" s="251">
        <f t="shared" si="0"/>
        <v>0.13422818791946312</v>
      </c>
    </row>
    <row r="20" spans="1:6" ht="12.75" customHeight="1" x14ac:dyDescent="0.15">
      <c r="A20" s="28">
        <v>1</v>
      </c>
      <c r="B20" s="310" t="s">
        <v>141</v>
      </c>
      <c r="C20" s="42" t="s">
        <v>135</v>
      </c>
      <c r="D20" s="70">
        <v>1.99</v>
      </c>
      <c r="E20" s="133">
        <v>2.39</v>
      </c>
      <c r="F20" s="251">
        <f t="shared" si="0"/>
        <v>0.20100502512562812</v>
      </c>
    </row>
    <row r="21" spans="1:6" ht="12.75" hidden="1" customHeight="1" x14ac:dyDescent="0.15">
      <c r="A21" s="28">
        <v>1</v>
      </c>
      <c r="B21" s="310" t="s">
        <v>142</v>
      </c>
      <c r="C21" s="46" t="s">
        <v>129</v>
      </c>
      <c r="D21" s="70">
        <v>3.69</v>
      </c>
      <c r="E21" s="133">
        <v>3.69</v>
      </c>
      <c r="F21" s="251">
        <f t="shared" si="0"/>
        <v>0</v>
      </c>
    </row>
    <row r="22" spans="1:6" ht="12.75" hidden="1" customHeight="1" x14ac:dyDescent="0.15">
      <c r="A22" s="28">
        <v>1</v>
      </c>
      <c r="B22" s="311" t="s">
        <v>142</v>
      </c>
      <c r="C22" s="46" t="s">
        <v>130</v>
      </c>
      <c r="D22" s="70">
        <v>4.49</v>
      </c>
      <c r="E22" s="133">
        <v>4.49</v>
      </c>
      <c r="F22" s="251">
        <f t="shared" si="0"/>
        <v>0</v>
      </c>
    </row>
    <row r="23" spans="1:6" ht="12.75" hidden="1" customHeight="1" x14ac:dyDescent="0.15">
      <c r="A23" s="28">
        <v>1</v>
      </c>
      <c r="B23" s="311" t="s">
        <v>142</v>
      </c>
      <c r="C23" s="46" t="s">
        <v>131</v>
      </c>
      <c r="D23" s="70">
        <v>4.99</v>
      </c>
      <c r="E23" s="133">
        <v>4.99</v>
      </c>
      <c r="F23" s="251">
        <f t="shared" si="0"/>
        <v>0</v>
      </c>
    </row>
    <row r="24" spans="1:6" ht="12.75" hidden="1" customHeight="1" x14ac:dyDescent="0.15">
      <c r="A24" s="28">
        <v>1</v>
      </c>
      <c r="B24" s="311" t="s">
        <v>143</v>
      </c>
      <c r="C24" s="46"/>
      <c r="D24" s="70">
        <v>2.99</v>
      </c>
      <c r="E24" s="133">
        <v>2.99</v>
      </c>
      <c r="F24" s="251">
        <f t="shared" si="0"/>
        <v>0</v>
      </c>
    </row>
    <row r="25" spans="1:6" ht="12.75" customHeight="1" x14ac:dyDescent="0.15">
      <c r="A25" s="6">
        <v>2</v>
      </c>
      <c r="B25" s="309" t="s">
        <v>7</v>
      </c>
      <c r="C25" s="12" t="s">
        <v>8</v>
      </c>
      <c r="D25" s="13">
        <v>1.59</v>
      </c>
      <c r="E25" s="133">
        <v>1.79</v>
      </c>
      <c r="F25" s="251">
        <f t="shared" si="0"/>
        <v>0.12578616352201255</v>
      </c>
    </row>
    <row r="26" spans="1:6" ht="12.75" customHeight="1" x14ac:dyDescent="0.15">
      <c r="A26" s="6">
        <v>2</v>
      </c>
      <c r="B26" s="309" t="s">
        <v>7</v>
      </c>
      <c r="C26" s="20" t="s">
        <v>9</v>
      </c>
      <c r="D26" s="86">
        <v>1.59</v>
      </c>
      <c r="E26" s="133">
        <v>1.79</v>
      </c>
      <c r="F26" s="251">
        <f t="shared" si="0"/>
        <v>0.12578616352201255</v>
      </c>
    </row>
    <row r="27" spans="1:6" ht="12.75" customHeight="1" x14ac:dyDescent="0.15">
      <c r="A27" s="6">
        <v>2</v>
      </c>
      <c r="B27" s="309" t="s">
        <v>7</v>
      </c>
      <c r="C27" s="12" t="s">
        <v>10</v>
      </c>
      <c r="D27" s="13">
        <v>1.59</v>
      </c>
      <c r="E27" s="133">
        <v>1.79</v>
      </c>
      <c r="F27" s="251">
        <f t="shared" si="0"/>
        <v>0.12578616352201255</v>
      </c>
    </row>
    <row r="28" spans="1:6" ht="12.75" customHeight="1" x14ac:dyDescent="0.15">
      <c r="A28" s="6">
        <v>2</v>
      </c>
      <c r="B28" s="309" t="s">
        <v>7</v>
      </c>
      <c r="C28" s="8" t="s">
        <v>11</v>
      </c>
      <c r="D28" s="9">
        <v>1.59</v>
      </c>
      <c r="E28" s="136">
        <v>1.79</v>
      </c>
      <c r="F28" s="251">
        <f t="shared" si="0"/>
        <v>0.12578616352201255</v>
      </c>
    </row>
    <row r="29" spans="1:6" ht="12.75" customHeight="1" x14ac:dyDescent="0.15">
      <c r="A29" s="6">
        <v>2</v>
      </c>
      <c r="B29" s="309" t="s">
        <v>7</v>
      </c>
      <c r="C29" s="12" t="s">
        <v>14</v>
      </c>
      <c r="D29" s="13">
        <v>1.59</v>
      </c>
      <c r="E29" s="133">
        <v>1.79</v>
      </c>
      <c r="F29" s="251">
        <f t="shared" si="0"/>
        <v>0.12578616352201255</v>
      </c>
    </row>
    <row r="30" spans="1:6" ht="12.75" customHeight="1" x14ac:dyDescent="0.15">
      <c r="A30" s="6">
        <v>2</v>
      </c>
      <c r="B30" s="309" t="s">
        <v>7</v>
      </c>
      <c r="C30" s="12" t="s">
        <v>15</v>
      </c>
      <c r="D30" s="13">
        <v>1.59</v>
      </c>
      <c r="E30" s="133">
        <v>1.79</v>
      </c>
      <c r="F30" s="251">
        <f t="shared" si="0"/>
        <v>0.12578616352201255</v>
      </c>
    </row>
    <row r="31" spans="1:6" ht="12.75" customHeight="1" x14ac:dyDescent="0.15">
      <c r="A31" s="6">
        <v>2</v>
      </c>
      <c r="B31" s="309" t="s">
        <v>7</v>
      </c>
      <c r="C31" s="12" t="s">
        <v>16</v>
      </c>
      <c r="D31" s="13">
        <v>1.59</v>
      </c>
      <c r="E31" s="133">
        <v>1.79</v>
      </c>
      <c r="F31" s="251">
        <f t="shared" si="0"/>
        <v>0.12578616352201255</v>
      </c>
    </row>
    <row r="32" spans="1:6" ht="12.75" customHeight="1" x14ac:dyDescent="0.15">
      <c r="A32" s="6">
        <v>2</v>
      </c>
      <c r="B32" s="309" t="s">
        <v>7</v>
      </c>
      <c r="C32" s="12" t="s">
        <v>17</v>
      </c>
      <c r="D32" s="13">
        <v>1.59</v>
      </c>
      <c r="E32" s="133">
        <v>1.79</v>
      </c>
      <c r="F32" s="251">
        <f t="shared" si="0"/>
        <v>0.12578616352201255</v>
      </c>
    </row>
    <row r="33" spans="1:6" ht="22.5" customHeight="1" x14ac:dyDescent="0.15">
      <c r="A33" s="6">
        <v>2</v>
      </c>
      <c r="B33" s="309" t="s">
        <v>7</v>
      </c>
      <c r="C33" s="12" t="s">
        <v>18</v>
      </c>
      <c r="D33" s="13">
        <v>1.59</v>
      </c>
      <c r="E33" s="133">
        <v>1.79</v>
      </c>
      <c r="F33" s="251">
        <f t="shared" si="0"/>
        <v>0.12578616352201255</v>
      </c>
    </row>
    <row r="34" spans="1:6" ht="33.75" customHeight="1" x14ac:dyDescent="0.15">
      <c r="A34" s="6">
        <v>2</v>
      </c>
      <c r="B34" s="309" t="s">
        <v>7</v>
      </c>
      <c r="C34" s="19" t="s">
        <v>19</v>
      </c>
      <c r="D34" s="92">
        <v>1.59</v>
      </c>
      <c r="E34" s="134">
        <v>1.79</v>
      </c>
      <c r="F34" s="251">
        <f t="shared" si="0"/>
        <v>0.12578616352201255</v>
      </c>
    </row>
    <row r="35" spans="1:6" ht="12.75" customHeight="1" x14ac:dyDescent="0.15">
      <c r="A35" s="6">
        <v>2</v>
      </c>
      <c r="B35" s="308" t="s">
        <v>7</v>
      </c>
      <c r="C35" s="7" t="s">
        <v>20</v>
      </c>
      <c r="D35" s="132">
        <v>1.59</v>
      </c>
      <c r="E35" s="131">
        <v>1.79</v>
      </c>
      <c r="F35" s="251">
        <f t="shared" si="0"/>
        <v>0.12578616352201255</v>
      </c>
    </row>
    <row r="36" spans="1:6" ht="12.75" hidden="1" customHeight="1" x14ac:dyDescent="0.15">
      <c r="A36" s="6">
        <v>2</v>
      </c>
      <c r="B36" s="308" t="s">
        <v>21</v>
      </c>
      <c r="C36" s="12" t="s">
        <v>720</v>
      </c>
      <c r="D36" s="13">
        <v>2.99</v>
      </c>
      <c r="E36" s="133">
        <v>2.99</v>
      </c>
      <c r="F36" s="251">
        <f t="shared" si="0"/>
        <v>0</v>
      </c>
    </row>
    <row r="37" spans="1:6" ht="12.75" customHeight="1" x14ac:dyDescent="0.15">
      <c r="A37" s="6">
        <v>2</v>
      </c>
      <c r="B37" s="308" t="s">
        <v>22</v>
      </c>
      <c r="C37" s="12" t="s">
        <v>23</v>
      </c>
      <c r="D37" s="13">
        <v>2.65</v>
      </c>
      <c r="E37" s="133">
        <v>2.99</v>
      </c>
      <c r="F37" s="251">
        <f t="shared" si="0"/>
        <v>0.12830188679245302</v>
      </c>
    </row>
    <row r="38" spans="1:6" ht="12.75" customHeight="1" x14ac:dyDescent="0.15">
      <c r="A38" s="6">
        <v>2</v>
      </c>
      <c r="B38" s="312" t="s">
        <v>24</v>
      </c>
      <c r="C38" s="12" t="s">
        <v>25</v>
      </c>
      <c r="D38" s="13">
        <v>1.85</v>
      </c>
      <c r="E38" s="252">
        <v>1.99</v>
      </c>
      <c r="F38" s="251">
        <f t="shared" si="0"/>
        <v>7.5675675675675569E-2</v>
      </c>
    </row>
    <row r="39" spans="1:6" ht="12.75" hidden="1" customHeight="1" x14ac:dyDescent="0.15">
      <c r="A39" s="6">
        <v>2</v>
      </c>
      <c r="B39" s="312" t="s">
        <v>24</v>
      </c>
      <c r="C39" s="12" t="s">
        <v>26</v>
      </c>
      <c r="D39" s="13">
        <v>1.99</v>
      </c>
      <c r="E39" s="133">
        <v>1.99</v>
      </c>
      <c r="F39" s="251">
        <f t="shared" si="0"/>
        <v>0</v>
      </c>
    </row>
    <row r="40" spans="1:6" ht="12.75" customHeight="1" x14ac:dyDescent="0.15">
      <c r="A40" s="6">
        <v>3</v>
      </c>
      <c r="B40" s="308" t="s">
        <v>43</v>
      </c>
      <c r="C40" s="12" t="s">
        <v>19</v>
      </c>
      <c r="D40" s="13">
        <v>1.1499999999999999</v>
      </c>
      <c r="E40" s="133">
        <v>1.25</v>
      </c>
      <c r="F40" s="251">
        <f t="shared" si="0"/>
        <v>8.6956521739130599E-2</v>
      </c>
    </row>
    <row r="41" spans="1:6" ht="12.75" customHeight="1" x14ac:dyDescent="0.15">
      <c r="A41" s="6">
        <v>3</v>
      </c>
      <c r="B41" s="26" t="s">
        <v>43</v>
      </c>
      <c r="C41" s="27" t="s">
        <v>18</v>
      </c>
      <c r="D41" s="92">
        <v>1.1499999999999999</v>
      </c>
      <c r="E41" s="134">
        <v>1.25</v>
      </c>
      <c r="F41" s="251">
        <f t="shared" si="0"/>
        <v>8.6956521739130599E-2</v>
      </c>
    </row>
    <row r="42" spans="1:6" ht="12.75" customHeight="1" x14ac:dyDescent="0.15">
      <c r="A42" s="6">
        <v>3</v>
      </c>
      <c r="B42" s="308" t="s">
        <v>43</v>
      </c>
      <c r="C42" s="25" t="s">
        <v>44</v>
      </c>
      <c r="D42" s="132">
        <v>1.1499999999999999</v>
      </c>
      <c r="E42" s="131">
        <v>1.25</v>
      </c>
      <c r="F42" s="251">
        <f t="shared" si="0"/>
        <v>8.6956521739130599E-2</v>
      </c>
    </row>
    <row r="43" spans="1:6" ht="12.75" customHeight="1" x14ac:dyDescent="0.15">
      <c r="A43" s="6">
        <v>3</v>
      </c>
      <c r="B43" s="308" t="s">
        <v>43</v>
      </c>
      <c r="C43" s="21" t="s">
        <v>45</v>
      </c>
      <c r="D43" s="13">
        <v>1.1499999999999999</v>
      </c>
      <c r="E43" s="133">
        <v>1.25</v>
      </c>
      <c r="F43" s="251">
        <f t="shared" si="0"/>
        <v>8.6956521739130599E-2</v>
      </c>
    </row>
    <row r="44" spans="1:6" ht="12.75" customHeight="1" x14ac:dyDescent="0.15">
      <c r="A44" s="6">
        <v>3</v>
      </c>
      <c r="B44" s="26" t="s">
        <v>43</v>
      </c>
      <c r="C44" s="27" t="s">
        <v>36</v>
      </c>
      <c r="D44" s="92">
        <v>1.1499999999999999</v>
      </c>
      <c r="E44" s="134">
        <v>1.25</v>
      </c>
      <c r="F44" s="251">
        <f t="shared" si="0"/>
        <v>8.6956521739130599E-2</v>
      </c>
    </row>
    <row r="45" spans="1:6" ht="12.75" customHeight="1" x14ac:dyDescent="0.15">
      <c r="A45" s="6">
        <v>3</v>
      </c>
      <c r="B45" s="308" t="s">
        <v>43</v>
      </c>
      <c r="C45" s="25" t="s">
        <v>46</v>
      </c>
      <c r="D45" s="132">
        <v>1.1499999999999999</v>
      </c>
      <c r="E45" s="131">
        <v>1.25</v>
      </c>
      <c r="F45" s="251">
        <f t="shared" si="0"/>
        <v>8.6956521739130599E-2</v>
      </c>
    </row>
    <row r="46" spans="1:6" ht="12.75" customHeight="1" x14ac:dyDescent="0.15">
      <c r="A46" s="6">
        <v>3</v>
      </c>
      <c r="B46" s="308" t="s">
        <v>47</v>
      </c>
      <c r="C46" s="12" t="s">
        <v>19</v>
      </c>
      <c r="D46" s="13">
        <v>1.55</v>
      </c>
      <c r="E46" s="133">
        <v>1.69</v>
      </c>
      <c r="F46" s="251">
        <f t="shared" si="0"/>
        <v>9.0322580645161299E-2</v>
      </c>
    </row>
    <row r="47" spans="1:6" ht="12.75" customHeight="1" x14ac:dyDescent="0.15">
      <c r="A47" s="6">
        <v>4</v>
      </c>
      <c r="B47" s="16" t="s">
        <v>28</v>
      </c>
      <c r="C47" s="12" t="s">
        <v>16</v>
      </c>
      <c r="D47" s="13">
        <v>2.99</v>
      </c>
      <c r="E47" s="133">
        <v>3.25</v>
      </c>
      <c r="F47" s="251">
        <f t="shared" si="0"/>
        <v>8.6956521739130377E-2</v>
      </c>
    </row>
    <row r="48" spans="1:6" ht="12.75" customHeight="1" x14ac:dyDescent="0.15">
      <c r="A48" s="6">
        <v>4</v>
      </c>
      <c r="B48" s="16" t="s">
        <v>28</v>
      </c>
      <c r="C48" s="12" t="s">
        <v>18</v>
      </c>
      <c r="D48" s="13">
        <v>2.99</v>
      </c>
      <c r="E48" s="133">
        <v>3.25</v>
      </c>
      <c r="F48" s="251">
        <f t="shared" si="0"/>
        <v>8.6956521739130377E-2</v>
      </c>
    </row>
    <row r="49" spans="1:6" ht="12.75" customHeight="1" x14ac:dyDescent="0.15">
      <c r="A49" s="6">
        <v>4</v>
      </c>
      <c r="B49" s="26" t="s">
        <v>28</v>
      </c>
      <c r="C49" s="19" t="s">
        <v>20</v>
      </c>
      <c r="D49" s="92">
        <v>2.99</v>
      </c>
      <c r="E49" s="134">
        <v>3.25</v>
      </c>
      <c r="F49" s="251">
        <f t="shared" si="0"/>
        <v>8.6956521739130377E-2</v>
      </c>
    </row>
    <row r="50" spans="1:6" ht="12.75" customHeight="1" x14ac:dyDescent="0.15">
      <c r="A50" s="6">
        <v>4</v>
      </c>
      <c r="B50" s="308" t="s">
        <v>28</v>
      </c>
      <c r="C50" s="7" t="s">
        <v>29</v>
      </c>
      <c r="D50" s="132">
        <v>2.99</v>
      </c>
      <c r="E50" s="131">
        <v>3.25</v>
      </c>
      <c r="F50" s="251">
        <f t="shared" si="0"/>
        <v>8.6956521739130377E-2</v>
      </c>
    </row>
    <row r="51" spans="1:6" ht="12.75" customHeight="1" x14ac:dyDescent="0.15">
      <c r="A51" s="6">
        <v>4</v>
      </c>
      <c r="B51" s="308" t="s">
        <v>28</v>
      </c>
      <c r="C51" s="12" t="s">
        <v>30</v>
      </c>
      <c r="D51" s="13">
        <v>2.99</v>
      </c>
      <c r="E51" s="133">
        <v>3.25</v>
      </c>
      <c r="F51" s="251">
        <f t="shared" si="0"/>
        <v>8.6956521739130377E-2</v>
      </c>
    </row>
    <row r="52" spans="1:6" ht="12.75" customHeight="1" x14ac:dyDescent="0.15">
      <c r="A52" s="6">
        <v>4</v>
      </c>
      <c r="B52" s="308" t="s">
        <v>31</v>
      </c>
      <c r="C52" s="12" t="s">
        <v>16</v>
      </c>
      <c r="D52" s="13">
        <v>2.99</v>
      </c>
      <c r="E52" s="133">
        <v>3.25</v>
      </c>
      <c r="F52" s="251">
        <f t="shared" si="0"/>
        <v>8.6956521739130377E-2</v>
      </c>
    </row>
    <row r="53" spans="1:6" ht="12.75" customHeight="1" x14ac:dyDescent="0.15">
      <c r="A53" s="6">
        <v>4</v>
      </c>
      <c r="B53" s="308" t="s">
        <v>31</v>
      </c>
      <c r="C53" s="12" t="s">
        <v>18</v>
      </c>
      <c r="D53" s="13">
        <v>2.99</v>
      </c>
      <c r="E53" s="133">
        <v>3.25</v>
      </c>
      <c r="F53" s="251">
        <f t="shared" si="0"/>
        <v>8.6956521739130377E-2</v>
      </c>
    </row>
    <row r="54" spans="1:6" ht="12.75" customHeight="1" x14ac:dyDescent="0.15">
      <c r="A54" s="6">
        <v>4</v>
      </c>
      <c r="B54" s="309" t="s">
        <v>31</v>
      </c>
      <c r="C54" s="12" t="s">
        <v>20</v>
      </c>
      <c r="D54" s="13">
        <v>2.99</v>
      </c>
      <c r="E54" s="133">
        <v>3.25</v>
      </c>
      <c r="F54" s="251">
        <f t="shared" si="0"/>
        <v>8.6956521739130377E-2</v>
      </c>
    </row>
    <row r="55" spans="1:6" ht="12.75" customHeight="1" x14ac:dyDescent="0.15">
      <c r="A55" s="6">
        <v>4</v>
      </c>
      <c r="B55" s="309" t="s">
        <v>31</v>
      </c>
      <c r="C55" s="12" t="s">
        <v>29</v>
      </c>
      <c r="D55" s="13">
        <v>2.99</v>
      </c>
      <c r="E55" s="133">
        <v>3.25</v>
      </c>
      <c r="F55" s="251">
        <f t="shared" si="0"/>
        <v>8.6956521739130377E-2</v>
      </c>
    </row>
    <row r="56" spans="1:6" ht="24" customHeight="1" x14ac:dyDescent="0.15">
      <c r="A56" s="6">
        <v>4</v>
      </c>
      <c r="B56" s="309" t="s">
        <v>31</v>
      </c>
      <c r="C56" s="12" t="s">
        <v>30</v>
      </c>
      <c r="D56" s="13">
        <v>2.99</v>
      </c>
      <c r="E56" s="133">
        <v>3.25</v>
      </c>
      <c r="F56" s="251">
        <f t="shared" si="0"/>
        <v>8.6956521739130377E-2</v>
      </c>
    </row>
    <row r="57" spans="1:6" ht="12.75" hidden="1" customHeight="1" x14ac:dyDescent="0.15">
      <c r="A57" s="6">
        <v>4</v>
      </c>
      <c r="B57" s="309" t="s">
        <v>31</v>
      </c>
      <c r="C57" s="21" t="s">
        <v>33</v>
      </c>
      <c r="D57" s="13">
        <v>3.76</v>
      </c>
      <c r="E57" s="313"/>
      <c r="F57" s="314"/>
    </row>
    <row r="58" spans="1:6" ht="12.75" customHeight="1" x14ac:dyDescent="0.15">
      <c r="A58" s="6">
        <v>4</v>
      </c>
      <c r="B58" s="26" t="s">
        <v>35</v>
      </c>
      <c r="C58" s="19" t="s">
        <v>36</v>
      </c>
      <c r="D58" s="92">
        <v>2.59</v>
      </c>
      <c r="E58" s="134">
        <v>2.85</v>
      </c>
      <c r="F58" s="251">
        <f t="shared" ref="F58:F126" si="1">+(E58/D58)-1</f>
        <v>0.10038610038610041</v>
      </c>
    </row>
    <row r="59" spans="1:6" ht="12.75" customHeight="1" x14ac:dyDescent="0.15">
      <c r="A59" s="6">
        <v>4</v>
      </c>
      <c r="B59" s="33" t="s">
        <v>35</v>
      </c>
      <c r="C59" s="7" t="s">
        <v>37</v>
      </c>
      <c r="D59" s="132">
        <v>2.59</v>
      </c>
      <c r="E59" s="131">
        <v>2.85</v>
      </c>
      <c r="F59" s="251">
        <f t="shared" si="1"/>
        <v>0.10038610038610041</v>
      </c>
    </row>
    <row r="60" spans="1:6" ht="12.75" customHeight="1" x14ac:dyDescent="0.15">
      <c r="A60" s="6">
        <v>4</v>
      </c>
      <c r="B60" s="16" t="s">
        <v>35</v>
      </c>
      <c r="C60" s="12" t="s">
        <v>18</v>
      </c>
      <c r="D60" s="13">
        <v>2.59</v>
      </c>
      <c r="E60" s="133">
        <v>2.85</v>
      </c>
      <c r="F60" s="251">
        <f t="shared" si="1"/>
        <v>0.10038610038610041</v>
      </c>
    </row>
    <row r="61" spans="1:6" ht="12.75" customHeight="1" x14ac:dyDescent="0.15">
      <c r="A61" s="6">
        <v>4</v>
      </c>
      <c r="B61" s="309" t="s">
        <v>38</v>
      </c>
      <c r="C61" s="12" t="s">
        <v>16</v>
      </c>
      <c r="D61" s="13">
        <v>3.25</v>
      </c>
      <c r="E61" s="133">
        <v>3.49</v>
      </c>
      <c r="F61" s="251">
        <f t="shared" si="1"/>
        <v>7.3846153846153895E-2</v>
      </c>
    </row>
    <row r="62" spans="1:6" ht="12.75" customHeight="1" x14ac:dyDescent="0.15">
      <c r="A62" s="6">
        <v>4</v>
      </c>
      <c r="B62" s="309" t="s">
        <v>38</v>
      </c>
      <c r="C62" s="19" t="s">
        <v>8</v>
      </c>
      <c r="D62" s="92">
        <v>3.25</v>
      </c>
      <c r="E62" s="134">
        <v>3.49</v>
      </c>
      <c r="F62" s="251">
        <f t="shared" si="1"/>
        <v>7.3846153846153895E-2</v>
      </c>
    </row>
    <row r="63" spans="1:6" ht="12.75" customHeight="1" x14ac:dyDescent="0.15">
      <c r="A63" s="6">
        <v>4</v>
      </c>
      <c r="B63" s="33" t="s">
        <v>39</v>
      </c>
      <c r="C63" s="7" t="s">
        <v>40</v>
      </c>
      <c r="D63" s="132">
        <v>3.99</v>
      </c>
      <c r="E63" s="315">
        <v>4.29</v>
      </c>
      <c r="F63" s="251">
        <f t="shared" si="1"/>
        <v>7.5187969924811915E-2</v>
      </c>
    </row>
    <row r="64" spans="1:6" ht="12.75" hidden="1" customHeight="1" x14ac:dyDescent="0.15">
      <c r="A64" s="6">
        <v>4</v>
      </c>
      <c r="B64" s="16" t="s">
        <v>39</v>
      </c>
      <c r="C64" s="12" t="s">
        <v>41</v>
      </c>
      <c r="D64" s="13">
        <v>19.989999999999998</v>
      </c>
      <c r="E64" s="252">
        <v>19.989999999999998</v>
      </c>
      <c r="F64" s="251">
        <f t="shared" si="1"/>
        <v>0</v>
      </c>
    </row>
    <row r="65" spans="1:6" ht="12.75" hidden="1" customHeight="1" x14ac:dyDescent="0.15">
      <c r="A65" s="28">
        <v>5</v>
      </c>
      <c r="B65" s="256" t="s">
        <v>403</v>
      </c>
      <c r="C65" s="78" t="s">
        <v>404</v>
      </c>
      <c r="D65" s="144">
        <v>1.89</v>
      </c>
      <c r="E65" s="155">
        <v>1.89</v>
      </c>
      <c r="F65" s="251">
        <f t="shared" si="1"/>
        <v>0</v>
      </c>
    </row>
    <row r="66" spans="1:6" ht="12.75" hidden="1" customHeight="1" x14ac:dyDescent="0.15">
      <c r="A66" s="28">
        <v>5</v>
      </c>
      <c r="B66" s="310" t="s">
        <v>403</v>
      </c>
      <c r="C66" s="61" t="s">
        <v>405</v>
      </c>
      <c r="D66" s="141">
        <v>1.89</v>
      </c>
      <c r="E66" s="140">
        <v>1.89</v>
      </c>
      <c r="F66" s="251">
        <f t="shared" si="1"/>
        <v>0</v>
      </c>
    </row>
    <row r="67" spans="1:6" ht="12.75" hidden="1" customHeight="1" x14ac:dyDescent="0.15">
      <c r="A67" s="28">
        <v>5</v>
      </c>
      <c r="B67" s="310" t="s">
        <v>403</v>
      </c>
      <c r="C67" s="42" t="s">
        <v>406</v>
      </c>
      <c r="D67" s="70">
        <v>1.89</v>
      </c>
      <c r="E67" s="142">
        <v>1.89</v>
      </c>
      <c r="F67" s="251">
        <f t="shared" si="1"/>
        <v>0</v>
      </c>
    </row>
    <row r="68" spans="1:6" ht="12.75" hidden="1" customHeight="1" x14ac:dyDescent="0.15">
      <c r="A68" s="28">
        <v>5</v>
      </c>
      <c r="B68" s="311" t="s">
        <v>403</v>
      </c>
      <c r="C68" s="42" t="s">
        <v>407</v>
      </c>
      <c r="D68" s="70">
        <v>1.89</v>
      </c>
      <c r="E68" s="142">
        <v>1.89</v>
      </c>
      <c r="F68" s="251">
        <f t="shared" si="1"/>
        <v>0</v>
      </c>
    </row>
    <row r="69" spans="1:6" ht="12.75" hidden="1" customHeight="1" x14ac:dyDescent="0.15">
      <c r="A69" s="28">
        <v>5</v>
      </c>
      <c r="B69" s="311" t="s">
        <v>403</v>
      </c>
      <c r="C69" s="78" t="s">
        <v>750</v>
      </c>
      <c r="D69" s="144">
        <v>1.89</v>
      </c>
      <c r="E69" s="155">
        <v>1.89</v>
      </c>
      <c r="F69" s="251">
        <f t="shared" si="1"/>
        <v>0</v>
      </c>
    </row>
    <row r="70" spans="1:6" ht="12.75" hidden="1" customHeight="1" x14ac:dyDescent="0.15">
      <c r="A70" s="28">
        <v>5</v>
      </c>
      <c r="B70" s="41" t="s">
        <v>403</v>
      </c>
      <c r="C70" s="61" t="s">
        <v>410</v>
      </c>
      <c r="D70" s="141">
        <v>1.89</v>
      </c>
      <c r="E70" s="140">
        <v>1.89</v>
      </c>
      <c r="F70" s="251">
        <f t="shared" si="1"/>
        <v>0</v>
      </c>
    </row>
    <row r="71" spans="1:6" ht="12.75" hidden="1" customHeight="1" x14ac:dyDescent="0.15">
      <c r="A71" s="28">
        <v>5</v>
      </c>
      <c r="B71" s="43" t="s">
        <v>403</v>
      </c>
      <c r="C71" s="42" t="s">
        <v>412</v>
      </c>
      <c r="D71" s="70">
        <v>1.89</v>
      </c>
      <c r="E71" s="142">
        <v>1.89</v>
      </c>
      <c r="F71" s="251">
        <f t="shared" si="1"/>
        <v>0</v>
      </c>
    </row>
    <row r="72" spans="1:6" ht="12.75" hidden="1" customHeight="1" x14ac:dyDescent="0.15">
      <c r="A72" s="28">
        <v>5</v>
      </c>
      <c r="B72" s="43" t="s">
        <v>403</v>
      </c>
      <c r="C72" s="42" t="s">
        <v>413</v>
      </c>
      <c r="D72" s="70">
        <v>1.89</v>
      </c>
      <c r="E72" s="142">
        <v>1.89</v>
      </c>
      <c r="F72" s="251">
        <f t="shared" si="1"/>
        <v>0</v>
      </c>
    </row>
    <row r="73" spans="1:6" ht="12.75" hidden="1" customHeight="1" x14ac:dyDescent="0.15">
      <c r="A73" s="28">
        <v>5</v>
      </c>
      <c r="B73" s="43" t="s">
        <v>403</v>
      </c>
      <c r="C73" s="42" t="s">
        <v>414</v>
      </c>
      <c r="D73" s="70">
        <v>1.89</v>
      </c>
      <c r="E73" s="142">
        <v>1.89</v>
      </c>
      <c r="F73" s="251">
        <f t="shared" si="1"/>
        <v>0</v>
      </c>
    </row>
    <row r="74" spans="1:6" ht="12.75" hidden="1" customHeight="1" x14ac:dyDescent="0.15">
      <c r="A74" s="28">
        <v>5</v>
      </c>
      <c r="B74" s="43" t="s">
        <v>415</v>
      </c>
      <c r="C74" s="42" t="s">
        <v>404</v>
      </c>
      <c r="D74" s="70">
        <v>2.79</v>
      </c>
      <c r="E74" s="142">
        <v>2.79</v>
      </c>
      <c r="F74" s="251">
        <f t="shared" si="1"/>
        <v>0</v>
      </c>
    </row>
    <row r="75" spans="1:6" ht="12.75" hidden="1" customHeight="1" x14ac:dyDescent="0.15">
      <c r="A75" s="28">
        <v>5</v>
      </c>
      <c r="B75" s="311" t="s">
        <v>415</v>
      </c>
      <c r="C75" s="42" t="s">
        <v>405</v>
      </c>
      <c r="D75" s="70">
        <v>2.79</v>
      </c>
      <c r="E75" s="142">
        <v>2.79</v>
      </c>
      <c r="F75" s="251">
        <f t="shared" si="1"/>
        <v>0</v>
      </c>
    </row>
    <row r="76" spans="1:6" ht="12.75" hidden="1" customHeight="1" x14ac:dyDescent="0.15">
      <c r="A76" s="28">
        <v>5</v>
      </c>
      <c r="B76" s="311" t="s">
        <v>415</v>
      </c>
      <c r="C76" s="78" t="s">
        <v>406</v>
      </c>
      <c r="D76" s="144">
        <v>2.79</v>
      </c>
      <c r="E76" s="155">
        <v>2.79</v>
      </c>
      <c r="F76" s="251">
        <f t="shared" si="1"/>
        <v>0</v>
      </c>
    </row>
    <row r="77" spans="1:6" ht="29.25" hidden="1" customHeight="1" x14ac:dyDescent="0.15">
      <c r="A77" s="28">
        <v>5</v>
      </c>
      <c r="B77" s="310" t="s">
        <v>415</v>
      </c>
      <c r="C77" s="61" t="s">
        <v>407</v>
      </c>
      <c r="D77" s="141">
        <v>2.79</v>
      </c>
      <c r="E77" s="273">
        <v>2.79</v>
      </c>
      <c r="F77" s="251">
        <f t="shared" si="1"/>
        <v>0</v>
      </c>
    </row>
    <row r="78" spans="1:6" ht="12.75" hidden="1" customHeight="1" x14ac:dyDescent="0.15">
      <c r="A78" s="28">
        <v>5</v>
      </c>
      <c r="B78" s="310" t="s">
        <v>417</v>
      </c>
      <c r="C78" s="42" t="s">
        <v>404</v>
      </c>
      <c r="D78" s="70">
        <v>3.25</v>
      </c>
      <c r="E78" s="142">
        <v>3.25</v>
      </c>
      <c r="F78" s="251">
        <f t="shared" si="1"/>
        <v>0</v>
      </c>
    </row>
    <row r="79" spans="1:6" ht="12.75" hidden="1" customHeight="1" x14ac:dyDescent="0.15">
      <c r="A79" s="28">
        <v>5</v>
      </c>
      <c r="B79" s="311" t="s">
        <v>417</v>
      </c>
      <c r="C79" s="42" t="s">
        <v>405</v>
      </c>
      <c r="D79" s="70">
        <v>3.25</v>
      </c>
      <c r="E79" s="142">
        <v>3.25</v>
      </c>
      <c r="F79" s="251">
        <f t="shared" si="1"/>
        <v>0</v>
      </c>
    </row>
    <row r="80" spans="1:6" ht="12.75" hidden="1" customHeight="1" x14ac:dyDescent="0.15">
      <c r="A80" s="28">
        <v>5</v>
      </c>
      <c r="B80" s="311" t="s">
        <v>417</v>
      </c>
      <c r="C80" s="42" t="s">
        <v>407</v>
      </c>
      <c r="D80" s="70">
        <v>3.25</v>
      </c>
      <c r="E80" s="142">
        <v>3.25</v>
      </c>
      <c r="F80" s="251">
        <f t="shared" si="1"/>
        <v>0</v>
      </c>
    </row>
    <row r="81" spans="1:6" ht="12.75" hidden="1" customHeight="1" x14ac:dyDescent="0.15">
      <c r="A81" s="28">
        <v>5</v>
      </c>
      <c r="B81" s="311" t="s">
        <v>417</v>
      </c>
      <c r="C81" s="42" t="s">
        <v>409</v>
      </c>
      <c r="D81" s="70">
        <v>3.25</v>
      </c>
      <c r="E81" s="142">
        <v>3.25</v>
      </c>
      <c r="F81" s="251">
        <f t="shared" si="1"/>
        <v>0</v>
      </c>
    </row>
    <row r="82" spans="1:6" ht="12.75" hidden="1" customHeight="1" x14ac:dyDescent="0.15">
      <c r="A82" s="28">
        <v>5</v>
      </c>
      <c r="B82" s="311" t="s">
        <v>417</v>
      </c>
      <c r="C82" s="42" t="s">
        <v>418</v>
      </c>
      <c r="D82" s="70">
        <v>3.25</v>
      </c>
      <c r="E82" s="142">
        <v>3.25</v>
      </c>
      <c r="F82" s="251">
        <f t="shared" si="1"/>
        <v>0</v>
      </c>
    </row>
    <row r="83" spans="1:6" ht="12.75" customHeight="1" x14ac:dyDescent="0.15">
      <c r="A83" s="28">
        <v>5</v>
      </c>
      <c r="B83" s="311" t="s">
        <v>419</v>
      </c>
      <c r="C83" s="46" t="s">
        <v>420</v>
      </c>
      <c r="D83" s="70">
        <v>3.89</v>
      </c>
      <c r="E83" s="133">
        <v>3.99</v>
      </c>
      <c r="F83" s="251">
        <f t="shared" si="1"/>
        <v>2.5706940874036022E-2</v>
      </c>
    </row>
    <row r="84" spans="1:6" ht="12.75" customHeight="1" x14ac:dyDescent="0.15">
      <c r="A84" s="28">
        <v>5</v>
      </c>
      <c r="B84" s="311" t="s">
        <v>419</v>
      </c>
      <c r="C84" s="46" t="s">
        <v>131</v>
      </c>
      <c r="D84" s="70">
        <v>4.79</v>
      </c>
      <c r="E84" s="133">
        <v>4.99</v>
      </c>
      <c r="F84" s="251">
        <f t="shared" si="1"/>
        <v>4.175365344467652E-2</v>
      </c>
    </row>
    <row r="85" spans="1:6" ht="12.75" hidden="1" customHeight="1" x14ac:dyDescent="0.15">
      <c r="A85" s="28">
        <v>5</v>
      </c>
      <c r="B85" s="311" t="s">
        <v>419</v>
      </c>
      <c r="C85" s="46" t="s">
        <v>421</v>
      </c>
      <c r="D85" s="70">
        <v>27.99</v>
      </c>
      <c r="E85" s="133">
        <v>27.99</v>
      </c>
      <c r="F85" s="251">
        <f t="shared" si="1"/>
        <v>0</v>
      </c>
    </row>
    <row r="86" spans="1:6" ht="12.75" hidden="1" customHeight="1" x14ac:dyDescent="0.15">
      <c r="A86" s="28">
        <v>5</v>
      </c>
      <c r="B86" s="311" t="s">
        <v>422</v>
      </c>
      <c r="C86" s="42" t="s">
        <v>12</v>
      </c>
      <c r="D86" s="159">
        <v>3.49</v>
      </c>
      <c r="E86" s="160">
        <v>3.49</v>
      </c>
      <c r="F86" s="251">
        <f t="shared" si="1"/>
        <v>0</v>
      </c>
    </row>
    <row r="87" spans="1:6" ht="12.75" hidden="1" customHeight="1" x14ac:dyDescent="0.15">
      <c r="A87" s="28">
        <v>5</v>
      </c>
      <c r="B87" s="311" t="s">
        <v>422</v>
      </c>
      <c r="C87" s="42" t="s">
        <v>8</v>
      </c>
      <c r="D87" s="159">
        <v>3.49</v>
      </c>
      <c r="E87" s="160">
        <v>3.49</v>
      </c>
      <c r="F87" s="251">
        <f t="shared" si="1"/>
        <v>0</v>
      </c>
    </row>
    <row r="88" spans="1:6" ht="12.75" hidden="1" customHeight="1" x14ac:dyDescent="0.15">
      <c r="A88" s="28">
        <v>5</v>
      </c>
      <c r="B88" s="311" t="s">
        <v>422</v>
      </c>
      <c r="C88" s="42" t="s">
        <v>15</v>
      </c>
      <c r="D88" s="159">
        <v>3.49</v>
      </c>
      <c r="E88" s="160">
        <v>3.49</v>
      </c>
      <c r="F88" s="251">
        <f t="shared" si="1"/>
        <v>0</v>
      </c>
    </row>
    <row r="89" spans="1:6" ht="12.75" hidden="1" customHeight="1" x14ac:dyDescent="0.15">
      <c r="A89" s="28">
        <v>5</v>
      </c>
      <c r="B89" s="311" t="s">
        <v>422</v>
      </c>
      <c r="C89" s="42" t="s">
        <v>263</v>
      </c>
      <c r="D89" s="159">
        <v>3.49</v>
      </c>
      <c r="E89" s="160">
        <v>3.49</v>
      </c>
      <c r="F89" s="251">
        <f t="shared" si="1"/>
        <v>0</v>
      </c>
    </row>
    <row r="90" spans="1:6" ht="12.75" hidden="1" customHeight="1" x14ac:dyDescent="0.15">
      <c r="A90" s="28">
        <v>5</v>
      </c>
      <c r="B90" s="311" t="s">
        <v>422</v>
      </c>
      <c r="C90" s="42" t="s">
        <v>423</v>
      </c>
      <c r="D90" s="159">
        <v>3.49</v>
      </c>
      <c r="E90" s="160">
        <v>3.49</v>
      </c>
      <c r="F90" s="251">
        <f t="shared" si="1"/>
        <v>0</v>
      </c>
    </row>
    <row r="91" spans="1:6" ht="12.75" hidden="1" customHeight="1" x14ac:dyDescent="0.15">
      <c r="A91" s="28">
        <v>5</v>
      </c>
      <c r="B91" s="311" t="s">
        <v>422</v>
      </c>
      <c r="C91" s="42" t="s">
        <v>266</v>
      </c>
      <c r="D91" s="159">
        <v>3.49</v>
      </c>
      <c r="E91" s="160">
        <v>3.49</v>
      </c>
      <c r="F91" s="251">
        <f t="shared" si="1"/>
        <v>0</v>
      </c>
    </row>
    <row r="92" spans="1:6" ht="12.75" hidden="1" customHeight="1" x14ac:dyDescent="0.15">
      <c r="A92" s="28">
        <v>5</v>
      </c>
      <c r="B92" s="311" t="s">
        <v>422</v>
      </c>
      <c r="C92" s="42" t="s">
        <v>424</v>
      </c>
      <c r="D92" s="159">
        <v>3.49</v>
      </c>
      <c r="E92" s="160">
        <v>3.49</v>
      </c>
      <c r="F92" s="251">
        <f t="shared" si="1"/>
        <v>0</v>
      </c>
    </row>
    <row r="93" spans="1:6" ht="12.75" hidden="1" customHeight="1" x14ac:dyDescent="0.15">
      <c r="A93" s="28">
        <v>5</v>
      </c>
      <c r="B93" s="311" t="s">
        <v>422</v>
      </c>
      <c r="C93" s="42" t="s">
        <v>316</v>
      </c>
      <c r="D93" s="159">
        <v>3.49</v>
      </c>
      <c r="E93" s="160">
        <v>3.49</v>
      </c>
      <c r="F93" s="251">
        <f t="shared" si="1"/>
        <v>0</v>
      </c>
    </row>
    <row r="94" spans="1:6" ht="25.5" hidden="1" customHeight="1" x14ac:dyDescent="0.15">
      <c r="A94" s="28">
        <v>5</v>
      </c>
      <c r="B94" s="311" t="s">
        <v>425</v>
      </c>
      <c r="C94" s="42" t="s">
        <v>12</v>
      </c>
      <c r="D94" s="159">
        <v>3.99</v>
      </c>
      <c r="E94" s="160">
        <v>3.99</v>
      </c>
      <c r="F94" s="251">
        <f t="shared" si="1"/>
        <v>0</v>
      </c>
    </row>
    <row r="95" spans="1:6" ht="12.75" hidden="1" customHeight="1" x14ac:dyDescent="0.15">
      <c r="A95" s="28">
        <v>5</v>
      </c>
      <c r="B95" s="311" t="s">
        <v>425</v>
      </c>
      <c r="C95" s="42" t="s">
        <v>8</v>
      </c>
      <c r="D95" s="159">
        <v>3.99</v>
      </c>
      <c r="E95" s="160">
        <v>3.99</v>
      </c>
      <c r="F95" s="251">
        <f t="shared" si="1"/>
        <v>0</v>
      </c>
    </row>
    <row r="96" spans="1:6" ht="12.75" hidden="1" customHeight="1" x14ac:dyDescent="0.15">
      <c r="A96" s="28">
        <v>5</v>
      </c>
      <c r="B96" s="311" t="s">
        <v>425</v>
      </c>
      <c r="C96" s="42" t="s">
        <v>15</v>
      </c>
      <c r="D96" s="159">
        <v>3.99</v>
      </c>
      <c r="E96" s="160">
        <v>3.99</v>
      </c>
      <c r="F96" s="251">
        <f t="shared" si="1"/>
        <v>0</v>
      </c>
    </row>
    <row r="97" spans="1:6" ht="12.75" hidden="1" customHeight="1" x14ac:dyDescent="0.15">
      <c r="A97" s="28">
        <v>5</v>
      </c>
      <c r="B97" s="311" t="s">
        <v>425</v>
      </c>
      <c r="C97" s="42" t="s">
        <v>263</v>
      </c>
      <c r="D97" s="159">
        <v>3.99</v>
      </c>
      <c r="E97" s="160">
        <v>3.99</v>
      </c>
      <c r="F97" s="251">
        <f t="shared" si="1"/>
        <v>0</v>
      </c>
    </row>
    <row r="98" spans="1:6" ht="12.75" hidden="1" customHeight="1" x14ac:dyDescent="0.15">
      <c r="A98" s="28">
        <v>5</v>
      </c>
      <c r="B98" s="311" t="s">
        <v>425</v>
      </c>
      <c r="C98" s="42" t="s">
        <v>423</v>
      </c>
      <c r="D98" s="159">
        <v>3.99</v>
      </c>
      <c r="E98" s="160">
        <v>3.99</v>
      </c>
      <c r="F98" s="251">
        <f t="shared" si="1"/>
        <v>0</v>
      </c>
    </row>
    <row r="99" spans="1:6" ht="12.75" hidden="1" customHeight="1" x14ac:dyDescent="0.15">
      <c r="A99" s="28">
        <v>5</v>
      </c>
      <c r="B99" s="256" t="s">
        <v>425</v>
      </c>
      <c r="C99" s="78" t="s">
        <v>266</v>
      </c>
      <c r="D99" s="316">
        <v>3.99</v>
      </c>
      <c r="E99" s="317">
        <v>3.99</v>
      </c>
      <c r="F99" s="251">
        <f t="shared" si="1"/>
        <v>0</v>
      </c>
    </row>
    <row r="100" spans="1:6" ht="12.75" hidden="1" customHeight="1" x14ac:dyDescent="0.15">
      <c r="A100" s="28">
        <v>5</v>
      </c>
      <c r="B100" s="41" t="s">
        <v>425</v>
      </c>
      <c r="C100" s="61" t="s">
        <v>424</v>
      </c>
      <c r="D100" s="318">
        <v>3.99</v>
      </c>
      <c r="E100" s="319">
        <v>3.99</v>
      </c>
      <c r="F100" s="251">
        <f t="shared" si="1"/>
        <v>0</v>
      </c>
    </row>
    <row r="101" spans="1:6" ht="12.75" hidden="1" customHeight="1" x14ac:dyDescent="0.15">
      <c r="A101" s="28">
        <v>5</v>
      </c>
      <c r="B101" s="43" t="s">
        <v>425</v>
      </c>
      <c r="C101" s="42" t="s">
        <v>316</v>
      </c>
      <c r="D101" s="159">
        <v>3.99</v>
      </c>
      <c r="E101" s="160">
        <v>3.99</v>
      </c>
      <c r="F101" s="251">
        <f t="shared" si="1"/>
        <v>0</v>
      </c>
    </row>
    <row r="102" spans="1:6" ht="12.75" hidden="1" customHeight="1" x14ac:dyDescent="0.15">
      <c r="A102" s="28">
        <v>5</v>
      </c>
      <c r="B102" s="43" t="s">
        <v>426</v>
      </c>
      <c r="C102" s="46" t="s">
        <v>129</v>
      </c>
      <c r="D102" s="70">
        <v>2.29</v>
      </c>
      <c r="E102" s="252">
        <v>2.29</v>
      </c>
      <c r="F102" s="251">
        <f t="shared" si="1"/>
        <v>0</v>
      </c>
    </row>
    <row r="103" spans="1:6" ht="12.75" hidden="1" customHeight="1" x14ac:dyDescent="0.15">
      <c r="A103" s="28">
        <v>5</v>
      </c>
      <c r="B103" s="43" t="s">
        <v>426</v>
      </c>
      <c r="C103" s="46" t="s">
        <v>420</v>
      </c>
      <c r="D103" s="70">
        <v>3.49</v>
      </c>
      <c r="E103" s="252">
        <v>3.49</v>
      </c>
      <c r="F103" s="251">
        <f t="shared" si="1"/>
        <v>0</v>
      </c>
    </row>
    <row r="104" spans="1:6" ht="12.75" hidden="1" customHeight="1" x14ac:dyDescent="0.15">
      <c r="A104" s="28">
        <v>5</v>
      </c>
      <c r="B104" s="311" t="s">
        <v>751</v>
      </c>
      <c r="C104" s="42" t="s">
        <v>428</v>
      </c>
      <c r="D104" s="70">
        <v>2.99</v>
      </c>
      <c r="E104" s="142">
        <v>2.99</v>
      </c>
      <c r="F104" s="251">
        <f t="shared" si="1"/>
        <v>0</v>
      </c>
    </row>
    <row r="105" spans="1:6" ht="12.75" hidden="1" customHeight="1" x14ac:dyDescent="0.15">
      <c r="A105" s="28">
        <v>5</v>
      </c>
      <c r="B105" s="311" t="s">
        <v>751</v>
      </c>
      <c r="C105" s="42" t="s">
        <v>429</v>
      </c>
      <c r="D105" s="70">
        <v>2.99</v>
      </c>
      <c r="E105" s="142">
        <v>2.99</v>
      </c>
      <c r="F105" s="251">
        <f t="shared" si="1"/>
        <v>0</v>
      </c>
    </row>
    <row r="106" spans="1:6" ht="12.75" hidden="1" customHeight="1" x14ac:dyDescent="0.15">
      <c r="A106" s="28">
        <v>5</v>
      </c>
      <c r="B106" s="311" t="s">
        <v>751</v>
      </c>
      <c r="C106" s="42" t="s">
        <v>430</v>
      </c>
      <c r="D106" s="70">
        <v>2.99</v>
      </c>
      <c r="E106" s="142">
        <v>2.99</v>
      </c>
      <c r="F106" s="251">
        <f t="shared" si="1"/>
        <v>0</v>
      </c>
    </row>
    <row r="107" spans="1:6" ht="12.75" hidden="1" customHeight="1" x14ac:dyDescent="0.15">
      <c r="A107" s="28">
        <v>5</v>
      </c>
      <c r="B107" s="43" t="s">
        <v>435</v>
      </c>
      <c r="C107" s="42" t="s">
        <v>436</v>
      </c>
      <c r="D107" s="70">
        <v>2.99</v>
      </c>
      <c r="E107" s="142">
        <v>2.99</v>
      </c>
      <c r="F107" s="251">
        <f t="shared" si="1"/>
        <v>0</v>
      </c>
    </row>
    <row r="108" spans="1:6" ht="12.75" hidden="1" customHeight="1" x14ac:dyDescent="0.15">
      <c r="A108" s="28">
        <v>5</v>
      </c>
      <c r="B108" s="43" t="s">
        <v>435</v>
      </c>
      <c r="C108" s="42" t="s">
        <v>437</v>
      </c>
      <c r="D108" s="70">
        <v>2.99</v>
      </c>
      <c r="E108" s="142">
        <v>2.99</v>
      </c>
      <c r="F108" s="251">
        <f t="shared" si="1"/>
        <v>0</v>
      </c>
    </row>
    <row r="109" spans="1:6" ht="12.75" hidden="1" customHeight="1" x14ac:dyDescent="0.15">
      <c r="A109" s="28">
        <v>5</v>
      </c>
      <c r="B109" s="43" t="s">
        <v>435</v>
      </c>
      <c r="C109" s="42" t="s">
        <v>438</v>
      </c>
      <c r="D109" s="70">
        <v>2.99</v>
      </c>
      <c r="E109" s="142">
        <v>2.99</v>
      </c>
      <c r="F109" s="251">
        <f t="shared" si="1"/>
        <v>0</v>
      </c>
    </row>
    <row r="110" spans="1:6" ht="12.75" hidden="1" customHeight="1" x14ac:dyDescent="0.15">
      <c r="A110" s="28">
        <v>5</v>
      </c>
      <c r="B110" s="43" t="s">
        <v>435</v>
      </c>
      <c r="C110" s="42" t="s">
        <v>439</v>
      </c>
      <c r="D110" s="70">
        <v>2.99</v>
      </c>
      <c r="E110" s="142">
        <v>2.99</v>
      </c>
      <c r="F110" s="251">
        <f t="shared" si="1"/>
        <v>0</v>
      </c>
    </row>
    <row r="111" spans="1:6" ht="12.75" hidden="1" customHeight="1" x14ac:dyDescent="0.15">
      <c r="A111" s="28">
        <v>5</v>
      </c>
      <c r="B111" s="43" t="s">
        <v>440</v>
      </c>
      <c r="C111" s="42" t="s">
        <v>752</v>
      </c>
      <c r="D111" s="70">
        <v>3.99</v>
      </c>
      <c r="E111" s="133">
        <v>3.99</v>
      </c>
      <c r="F111" s="251">
        <f t="shared" si="1"/>
        <v>0</v>
      </c>
    </row>
    <row r="112" spans="1:6" ht="12.75" hidden="1" customHeight="1" x14ac:dyDescent="0.15">
      <c r="A112" s="28">
        <v>5</v>
      </c>
      <c r="B112" s="43" t="s">
        <v>440</v>
      </c>
      <c r="C112" s="42" t="s">
        <v>753</v>
      </c>
      <c r="D112" s="70">
        <v>3.99</v>
      </c>
      <c r="E112" s="252">
        <v>3.99</v>
      </c>
      <c r="F112" s="251">
        <f t="shared" si="1"/>
        <v>0</v>
      </c>
    </row>
    <row r="113" spans="1:6" ht="12.75" customHeight="1" x14ac:dyDescent="0.15">
      <c r="A113" s="28">
        <v>5</v>
      </c>
      <c r="B113" s="43" t="s">
        <v>443</v>
      </c>
      <c r="C113" s="42" t="s">
        <v>444</v>
      </c>
      <c r="D113" s="70">
        <v>2.79</v>
      </c>
      <c r="E113" s="133">
        <v>2.99</v>
      </c>
      <c r="F113" s="251">
        <f t="shared" si="1"/>
        <v>7.1684587813620082E-2</v>
      </c>
    </row>
    <row r="114" spans="1:6" ht="12.75" customHeight="1" x14ac:dyDescent="0.15">
      <c r="A114" s="28">
        <v>5</v>
      </c>
      <c r="B114" s="43" t="s">
        <v>443</v>
      </c>
      <c r="C114" s="42" t="s">
        <v>445</v>
      </c>
      <c r="D114" s="70">
        <v>2.79</v>
      </c>
      <c r="E114" s="133">
        <v>2.99</v>
      </c>
      <c r="F114" s="251">
        <f t="shared" si="1"/>
        <v>7.1684587813620082E-2</v>
      </c>
    </row>
    <row r="115" spans="1:6" ht="12.75" hidden="1" customHeight="1" x14ac:dyDescent="0.15">
      <c r="A115" s="28">
        <v>5</v>
      </c>
      <c r="B115" s="43" t="s">
        <v>446</v>
      </c>
      <c r="C115" s="42" t="s">
        <v>281</v>
      </c>
      <c r="D115" s="70">
        <v>5.99</v>
      </c>
      <c r="E115" s="142">
        <v>5.99</v>
      </c>
      <c r="F115" s="251">
        <f t="shared" si="1"/>
        <v>0</v>
      </c>
    </row>
    <row r="116" spans="1:6" ht="12.75" hidden="1" customHeight="1" x14ac:dyDescent="0.15">
      <c r="A116" s="28">
        <v>5</v>
      </c>
      <c r="B116" s="43" t="s">
        <v>446</v>
      </c>
      <c r="C116" s="42" t="s">
        <v>447</v>
      </c>
      <c r="D116" s="70">
        <v>5.99</v>
      </c>
      <c r="E116" s="142">
        <v>5.99</v>
      </c>
      <c r="F116" s="251">
        <f t="shared" si="1"/>
        <v>0</v>
      </c>
    </row>
    <row r="117" spans="1:6" ht="12.75" hidden="1" customHeight="1" x14ac:dyDescent="0.15">
      <c r="A117" s="28">
        <v>5</v>
      </c>
      <c r="B117" s="43" t="s">
        <v>446</v>
      </c>
      <c r="C117" s="42" t="s">
        <v>448</v>
      </c>
      <c r="D117" s="70">
        <v>5.99</v>
      </c>
      <c r="E117" s="142">
        <v>5.99</v>
      </c>
      <c r="F117" s="251">
        <f t="shared" si="1"/>
        <v>0</v>
      </c>
    </row>
    <row r="118" spans="1:6" ht="12.75" hidden="1" customHeight="1" x14ac:dyDescent="0.15">
      <c r="A118" s="28">
        <v>5</v>
      </c>
      <c r="B118" s="43" t="s">
        <v>446</v>
      </c>
      <c r="C118" s="42" t="s">
        <v>449</v>
      </c>
      <c r="D118" s="70">
        <v>5.99</v>
      </c>
      <c r="E118" s="142">
        <v>5.99</v>
      </c>
      <c r="F118" s="251">
        <f t="shared" si="1"/>
        <v>0</v>
      </c>
    </row>
    <row r="119" spans="1:6" ht="12.75" hidden="1" customHeight="1" x14ac:dyDescent="0.15">
      <c r="A119" s="28">
        <v>5</v>
      </c>
      <c r="B119" s="43" t="s">
        <v>446</v>
      </c>
      <c r="C119" s="42" t="s">
        <v>559</v>
      </c>
      <c r="D119" s="70">
        <v>5.99</v>
      </c>
      <c r="E119" s="142">
        <v>5.99</v>
      </c>
      <c r="F119" s="251">
        <f t="shared" si="1"/>
        <v>0</v>
      </c>
    </row>
    <row r="120" spans="1:6" ht="12.75" customHeight="1" x14ac:dyDescent="0.15">
      <c r="A120" s="28">
        <v>5</v>
      </c>
      <c r="B120" s="256" t="s">
        <v>452</v>
      </c>
      <c r="C120" s="78" t="s">
        <v>281</v>
      </c>
      <c r="D120" s="144">
        <v>3.25</v>
      </c>
      <c r="E120" s="134">
        <v>3.49</v>
      </c>
      <c r="F120" s="251">
        <f t="shared" si="1"/>
        <v>7.3846153846153895E-2</v>
      </c>
    </row>
    <row r="121" spans="1:6" ht="12.75" customHeight="1" x14ac:dyDescent="0.15">
      <c r="A121" s="28">
        <v>5</v>
      </c>
      <c r="B121" s="41" t="s">
        <v>452</v>
      </c>
      <c r="C121" s="61" t="s">
        <v>263</v>
      </c>
      <c r="D121" s="141">
        <v>3.25</v>
      </c>
      <c r="E121" s="131">
        <v>3.49</v>
      </c>
      <c r="F121" s="251">
        <f t="shared" si="1"/>
        <v>7.3846153846153895E-2</v>
      </c>
    </row>
    <row r="122" spans="1:6" ht="12.75" customHeight="1" x14ac:dyDescent="0.15">
      <c r="A122" s="28">
        <v>5</v>
      </c>
      <c r="B122" s="43" t="s">
        <v>452</v>
      </c>
      <c r="C122" s="42" t="s">
        <v>310</v>
      </c>
      <c r="D122" s="70">
        <v>3.25</v>
      </c>
      <c r="E122" s="133">
        <v>3.49</v>
      </c>
      <c r="F122" s="251">
        <f t="shared" si="1"/>
        <v>7.3846153846153895E-2</v>
      </c>
    </row>
    <row r="123" spans="1:6" ht="12.75" hidden="1" customHeight="1" x14ac:dyDescent="0.15">
      <c r="A123" s="28">
        <v>5</v>
      </c>
      <c r="B123" s="43" t="s">
        <v>454</v>
      </c>
      <c r="C123" s="42" t="s">
        <v>456</v>
      </c>
      <c r="D123" s="70">
        <v>1.29</v>
      </c>
      <c r="E123" s="142">
        <v>1.29</v>
      </c>
      <c r="F123" s="251">
        <f t="shared" si="1"/>
        <v>0</v>
      </c>
    </row>
    <row r="124" spans="1:6" ht="12.75" hidden="1" customHeight="1" x14ac:dyDescent="0.15">
      <c r="A124" s="28">
        <v>5</v>
      </c>
      <c r="B124" s="43" t="s">
        <v>454</v>
      </c>
      <c r="C124" s="42" t="s">
        <v>457</v>
      </c>
      <c r="D124" s="70">
        <v>1.99</v>
      </c>
      <c r="E124" s="142">
        <v>1.99</v>
      </c>
      <c r="F124" s="251">
        <f t="shared" si="1"/>
        <v>0</v>
      </c>
    </row>
    <row r="125" spans="1:6" ht="12.75" hidden="1" customHeight="1" x14ac:dyDescent="0.15">
      <c r="A125" s="28">
        <v>5</v>
      </c>
      <c r="B125" s="43" t="s">
        <v>454</v>
      </c>
      <c r="C125" s="42" t="s">
        <v>458</v>
      </c>
      <c r="D125" s="70">
        <v>3.49</v>
      </c>
      <c r="E125" s="142">
        <v>3.49</v>
      </c>
      <c r="F125" s="251">
        <f t="shared" si="1"/>
        <v>0</v>
      </c>
    </row>
    <row r="126" spans="1:6" ht="12.75" hidden="1" customHeight="1" x14ac:dyDescent="0.15">
      <c r="A126" s="28">
        <v>5</v>
      </c>
      <c r="B126" s="43" t="s">
        <v>454</v>
      </c>
      <c r="C126" s="42" t="s">
        <v>459</v>
      </c>
      <c r="D126" s="70">
        <v>3.25</v>
      </c>
      <c r="E126" s="142">
        <v>3.25</v>
      </c>
      <c r="F126" s="251">
        <f t="shared" si="1"/>
        <v>0</v>
      </c>
    </row>
    <row r="127" spans="1:6" ht="12.75" hidden="1" customHeight="1" x14ac:dyDescent="0.15">
      <c r="A127" s="6">
        <v>5</v>
      </c>
      <c r="B127" s="16" t="s">
        <v>932</v>
      </c>
      <c r="C127" s="21"/>
      <c r="D127" s="13">
        <v>20.83</v>
      </c>
      <c r="E127" s="320"/>
      <c r="F127" s="321"/>
    </row>
    <row r="128" spans="1:6" ht="12.75" hidden="1" customHeight="1" x14ac:dyDescent="0.15">
      <c r="A128" s="6">
        <v>6</v>
      </c>
      <c r="B128" s="16" t="s">
        <v>89</v>
      </c>
      <c r="C128" s="21"/>
      <c r="D128" s="13">
        <v>2.4900000000000002</v>
      </c>
      <c r="E128" s="133">
        <v>2.4900000000000002</v>
      </c>
      <c r="F128" s="251">
        <f t="shared" ref="F128:F179" si="2">+(E128/D128)-1</f>
        <v>0</v>
      </c>
    </row>
    <row r="129" spans="1:6" ht="12.75" customHeight="1" x14ac:dyDescent="0.15">
      <c r="A129" s="6">
        <v>6</v>
      </c>
      <c r="B129" s="16" t="s">
        <v>90</v>
      </c>
      <c r="C129" s="21"/>
      <c r="D129" s="13">
        <v>4.49</v>
      </c>
      <c r="E129" s="133">
        <v>4.99</v>
      </c>
      <c r="F129" s="251">
        <f t="shared" si="2"/>
        <v>0.11135857461024501</v>
      </c>
    </row>
    <row r="130" spans="1:6" ht="12.75" customHeight="1" x14ac:dyDescent="0.15">
      <c r="A130" s="6">
        <v>6</v>
      </c>
      <c r="B130" s="16" t="s">
        <v>91</v>
      </c>
      <c r="C130" s="21" t="s">
        <v>721</v>
      </c>
      <c r="D130" s="13">
        <v>3.99</v>
      </c>
      <c r="E130" s="133">
        <v>4.49</v>
      </c>
      <c r="F130" s="251">
        <f t="shared" si="2"/>
        <v>0.12531328320802015</v>
      </c>
    </row>
    <row r="131" spans="1:6" ht="12.75" hidden="1" customHeight="1" x14ac:dyDescent="0.15">
      <c r="A131" s="6">
        <v>6</v>
      </c>
      <c r="B131" s="26" t="s">
        <v>91</v>
      </c>
      <c r="C131" s="19" t="s">
        <v>93</v>
      </c>
      <c r="D131" s="92">
        <v>4.49</v>
      </c>
      <c r="E131" s="134">
        <v>4.49</v>
      </c>
      <c r="F131" s="251">
        <f t="shared" si="2"/>
        <v>0</v>
      </c>
    </row>
    <row r="132" spans="1:6" ht="12.75" hidden="1" customHeight="1" x14ac:dyDescent="0.15">
      <c r="A132" s="6">
        <v>6</v>
      </c>
      <c r="B132" s="26" t="s">
        <v>95</v>
      </c>
      <c r="C132" s="27"/>
      <c r="D132" s="92">
        <v>8.99</v>
      </c>
      <c r="E132" s="134">
        <v>8.99</v>
      </c>
      <c r="F132" s="251">
        <f t="shared" si="2"/>
        <v>0</v>
      </c>
    </row>
    <row r="133" spans="1:6" ht="12.75" hidden="1" customHeight="1" x14ac:dyDescent="0.15">
      <c r="A133" s="6">
        <v>6</v>
      </c>
      <c r="B133" s="308" t="s">
        <v>96</v>
      </c>
      <c r="C133" s="25"/>
      <c r="D133" s="132">
        <v>7.49</v>
      </c>
      <c r="E133" s="131">
        <v>7.49</v>
      </c>
      <c r="F133" s="251">
        <f t="shared" si="2"/>
        <v>0</v>
      </c>
    </row>
    <row r="134" spans="1:6" ht="12.75" hidden="1" customHeight="1" x14ac:dyDescent="0.15">
      <c r="A134" s="6">
        <v>6</v>
      </c>
      <c r="B134" s="308" t="s">
        <v>97</v>
      </c>
      <c r="C134" s="21"/>
      <c r="D134" s="13">
        <v>4.99</v>
      </c>
      <c r="E134" s="133">
        <v>4.99</v>
      </c>
      <c r="F134" s="251">
        <f t="shared" si="2"/>
        <v>0</v>
      </c>
    </row>
    <row r="135" spans="1:6" ht="12.75" customHeight="1" x14ac:dyDescent="0.15">
      <c r="A135" s="6">
        <v>6</v>
      </c>
      <c r="B135" s="310" t="s">
        <v>108</v>
      </c>
      <c r="C135" s="21" t="s">
        <v>109</v>
      </c>
      <c r="D135" s="13">
        <v>29.99</v>
      </c>
      <c r="E135" s="133">
        <v>34.99</v>
      </c>
      <c r="F135" s="251">
        <f t="shared" si="2"/>
        <v>0.16672224074691577</v>
      </c>
    </row>
    <row r="136" spans="1:6" ht="12.75" customHeight="1" x14ac:dyDescent="0.15">
      <c r="A136" s="6">
        <v>6</v>
      </c>
      <c r="B136" s="308" t="s">
        <v>110</v>
      </c>
      <c r="C136" s="21" t="s">
        <v>111</v>
      </c>
      <c r="D136" s="13">
        <v>7.49</v>
      </c>
      <c r="E136" s="133">
        <v>8.49</v>
      </c>
      <c r="F136" s="251">
        <f t="shared" si="2"/>
        <v>0.13351134846461954</v>
      </c>
    </row>
    <row r="137" spans="1:6" ht="12.75" hidden="1" customHeight="1" x14ac:dyDescent="0.15">
      <c r="A137" s="6">
        <v>6</v>
      </c>
      <c r="B137" s="308" t="s">
        <v>114</v>
      </c>
      <c r="C137" s="21" t="s">
        <v>115</v>
      </c>
      <c r="D137" s="13">
        <v>4.99</v>
      </c>
      <c r="E137" s="133">
        <v>4.99</v>
      </c>
      <c r="F137" s="251">
        <f t="shared" si="2"/>
        <v>0</v>
      </c>
    </row>
    <row r="138" spans="1:6" ht="12.75" customHeight="1" x14ac:dyDescent="0.15">
      <c r="A138" s="6">
        <v>6</v>
      </c>
      <c r="B138" s="310" t="s">
        <v>116</v>
      </c>
      <c r="C138" s="139" t="s">
        <v>117</v>
      </c>
      <c r="D138" s="13">
        <v>8.99</v>
      </c>
      <c r="E138" s="133">
        <v>9.49</v>
      </c>
      <c r="F138" s="251">
        <f t="shared" si="2"/>
        <v>5.5617352614015569E-2</v>
      </c>
    </row>
    <row r="139" spans="1:6" ht="12.75" customHeight="1" x14ac:dyDescent="0.15">
      <c r="A139" s="6">
        <v>6</v>
      </c>
      <c r="B139" s="308" t="s">
        <v>118</v>
      </c>
      <c r="C139" s="21" t="s">
        <v>726</v>
      </c>
      <c r="D139" s="13">
        <v>5.99</v>
      </c>
      <c r="E139" s="133">
        <v>6.59</v>
      </c>
      <c r="F139" s="251">
        <f t="shared" si="2"/>
        <v>0.10016694490818034</v>
      </c>
    </row>
    <row r="140" spans="1:6" ht="12.75" hidden="1" customHeight="1" x14ac:dyDescent="0.15">
      <c r="A140" s="6">
        <v>6</v>
      </c>
      <c r="B140" s="308" t="s">
        <v>120</v>
      </c>
      <c r="C140" s="21" t="s">
        <v>40</v>
      </c>
      <c r="D140" s="13">
        <v>4.99</v>
      </c>
      <c r="E140" s="252">
        <v>4.99</v>
      </c>
      <c r="F140" s="251">
        <f t="shared" si="2"/>
        <v>0</v>
      </c>
    </row>
    <row r="141" spans="1:6" ht="12.75" hidden="1" customHeight="1" x14ac:dyDescent="0.15">
      <c r="A141" s="6">
        <v>6</v>
      </c>
      <c r="B141" s="308" t="s">
        <v>120</v>
      </c>
      <c r="C141" s="21" t="s">
        <v>121</v>
      </c>
      <c r="D141" s="13">
        <v>25</v>
      </c>
      <c r="E141" s="252">
        <v>25</v>
      </c>
      <c r="F141" s="251">
        <f t="shared" si="2"/>
        <v>0</v>
      </c>
    </row>
    <row r="142" spans="1:6" ht="12.75" customHeight="1" x14ac:dyDescent="0.15">
      <c r="A142" s="28">
        <v>7</v>
      </c>
      <c r="B142" s="310" t="s">
        <v>254</v>
      </c>
      <c r="C142" s="42" t="s">
        <v>255</v>
      </c>
      <c r="D142" s="70">
        <v>3.25</v>
      </c>
      <c r="E142" s="133">
        <v>3.59</v>
      </c>
      <c r="F142" s="251">
        <f t="shared" si="2"/>
        <v>0.10461538461538455</v>
      </c>
    </row>
    <row r="143" spans="1:6" ht="12.75" customHeight="1" x14ac:dyDescent="0.15">
      <c r="A143" s="28">
        <v>7</v>
      </c>
      <c r="B143" s="310" t="s">
        <v>254</v>
      </c>
      <c r="C143" s="42" t="s">
        <v>256</v>
      </c>
      <c r="D143" s="70">
        <v>3.25</v>
      </c>
      <c r="E143" s="133">
        <v>3.59</v>
      </c>
      <c r="F143" s="251">
        <f t="shared" si="2"/>
        <v>0.10461538461538455</v>
      </c>
    </row>
    <row r="144" spans="1:6" ht="12.75" customHeight="1" x14ac:dyDescent="0.15">
      <c r="A144" s="28">
        <v>7</v>
      </c>
      <c r="B144" s="311" t="s">
        <v>254</v>
      </c>
      <c r="C144" s="42" t="s">
        <v>257</v>
      </c>
      <c r="D144" s="70">
        <v>3.25</v>
      </c>
      <c r="E144" s="133">
        <v>3.59</v>
      </c>
      <c r="F144" s="251">
        <f t="shared" si="2"/>
        <v>0.10461538461538455</v>
      </c>
    </row>
    <row r="145" spans="1:6" ht="12.75" customHeight="1" x14ac:dyDescent="0.15">
      <c r="A145" s="28">
        <v>7</v>
      </c>
      <c r="B145" s="311" t="s">
        <v>254</v>
      </c>
      <c r="C145" s="42" t="s">
        <v>11</v>
      </c>
      <c r="D145" s="70">
        <v>3.25</v>
      </c>
      <c r="E145" s="133">
        <v>3.59</v>
      </c>
      <c r="F145" s="251">
        <f t="shared" si="2"/>
        <v>0.10461538461538455</v>
      </c>
    </row>
    <row r="146" spans="1:6" ht="12.75" customHeight="1" x14ac:dyDescent="0.15">
      <c r="A146" s="28">
        <v>7</v>
      </c>
      <c r="B146" s="311" t="s">
        <v>254</v>
      </c>
      <c r="C146" s="42" t="s">
        <v>258</v>
      </c>
      <c r="D146" s="70">
        <v>3.25</v>
      </c>
      <c r="E146" s="133">
        <v>3.59</v>
      </c>
      <c r="F146" s="251">
        <f t="shared" si="2"/>
        <v>0.10461538461538455</v>
      </c>
    </row>
    <row r="147" spans="1:6" ht="12.75" customHeight="1" x14ac:dyDescent="0.15">
      <c r="A147" s="28">
        <v>7</v>
      </c>
      <c r="B147" s="311" t="s">
        <v>254</v>
      </c>
      <c r="C147" s="42" t="s">
        <v>259</v>
      </c>
      <c r="D147" s="70">
        <v>3.25</v>
      </c>
      <c r="E147" s="133">
        <v>3.59</v>
      </c>
      <c r="F147" s="251">
        <f t="shared" si="2"/>
        <v>0.10461538461538455</v>
      </c>
    </row>
    <row r="148" spans="1:6" ht="12.75" customHeight="1" x14ac:dyDescent="0.15">
      <c r="A148" s="28">
        <v>7</v>
      </c>
      <c r="B148" s="311" t="s">
        <v>254</v>
      </c>
      <c r="C148" s="42" t="s">
        <v>736</v>
      </c>
      <c r="D148" s="70">
        <v>3.25</v>
      </c>
      <c r="E148" s="133">
        <v>3.59</v>
      </c>
      <c r="F148" s="251">
        <f t="shared" si="2"/>
        <v>0.10461538461538455</v>
      </c>
    </row>
    <row r="149" spans="1:6" ht="12.75" customHeight="1" x14ac:dyDescent="0.15">
      <c r="A149" s="28">
        <v>7</v>
      </c>
      <c r="B149" s="311" t="s">
        <v>254</v>
      </c>
      <c r="C149" s="42" t="s">
        <v>261</v>
      </c>
      <c r="D149" s="70">
        <v>3.25</v>
      </c>
      <c r="E149" s="133">
        <v>3.59</v>
      </c>
      <c r="F149" s="251">
        <f t="shared" si="2"/>
        <v>0.10461538461538455</v>
      </c>
    </row>
    <row r="150" spans="1:6" ht="12.75" customHeight="1" x14ac:dyDescent="0.15">
      <c r="A150" s="28">
        <v>7</v>
      </c>
      <c r="B150" s="311" t="s">
        <v>254</v>
      </c>
      <c r="C150" s="42" t="s">
        <v>262</v>
      </c>
      <c r="D150" s="70">
        <v>3.25</v>
      </c>
      <c r="E150" s="133">
        <v>3.59</v>
      </c>
      <c r="F150" s="251">
        <f t="shared" si="2"/>
        <v>0.10461538461538455</v>
      </c>
    </row>
    <row r="151" spans="1:6" ht="12.75" customHeight="1" x14ac:dyDescent="0.15">
      <c r="A151" s="28">
        <v>7</v>
      </c>
      <c r="B151" s="311" t="s">
        <v>254</v>
      </c>
      <c r="C151" s="42" t="s">
        <v>263</v>
      </c>
      <c r="D151" s="70">
        <v>3.25</v>
      </c>
      <c r="E151" s="133">
        <v>3.59</v>
      </c>
      <c r="F151" s="251">
        <f t="shared" si="2"/>
        <v>0.10461538461538455</v>
      </c>
    </row>
    <row r="152" spans="1:6" ht="12.75" customHeight="1" x14ac:dyDescent="0.15">
      <c r="A152" s="28">
        <v>7</v>
      </c>
      <c r="B152" s="311" t="s">
        <v>254</v>
      </c>
      <c r="C152" s="42" t="s">
        <v>267</v>
      </c>
      <c r="D152" s="70">
        <v>3.25</v>
      </c>
      <c r="E152" s="133">
        <v>3.59</v>
      </c>
      <c r="F152" s="251">
        <f t="shared" si="2"/>
        <v>0.10461538461538455</v>
      </c>
    </row>
    <row r="153" spans="1:6" ht="12.75" customHeight="1" x14ac:dyDescent="0.15">
      <c r="A153" s="28">
        <v>7</v>
      </c>
      <c r="B153" s="311" t="s">
        <v>269</v>
      </c>
      <c r="C153" s="42" t="s">
        <v>270</v>
      </c>
      <c r="D153" s="70">
        <v>3.99</v>
      </c>
      <c r="E153" s="133">
        <v>4.29</v>
      </c>
      <c r="F153" s="251">
        <f t="shared" si="2"/>
        <v>7.5187969924811915E-2</v>
      </c>
    </row>
    <row r="154" spans="1:6" ht="12.75" customHeight="1" x14ac:dyDescent="0.15">
      <c r="A154" s="28">
        <v>7</v>
      </c>
      <c r="B154" s="311" t="s">
        <v>269</v>
      </c>
      <c r="C154" s="42" t="s">
        <v>271</v>
      </c>
      <c r="D154" s="70">
        <v>3.99</v>
      </c>
      <c r="E154" s="133">
        <v>4.29</v>
      </c>
      <c r="F154" s="251">
        <f t="shared" si="2"/>
        <v>7.5187969924811915E-2</v>
      </c>
    </row>
    <row r="155" spans="1:6" ht="12.75" customHeight="1" x14ac:dyDescent="0.15">
      <c r="A155" s="28">
        <v>7</v>
      </c>
      <c r="B155" s="311" t="s">
        <v>269</v>
      </c>
      <c r="C155" s="42" t="s">
        <v>272</v>
      </c>
      <c r="D155" s="70">
        <v>3.99</v>
      </c>
      <c r="E155" s="133">
        <v>4.29</v>
      </c>
      <c r="F155" s="251">
        <f t="shared" si="2"/>
        <v>7.5187969924811915E-2</v>
      </c>
    </row>
    <row r="156" spans="1:6" ht="12.75" customHeight="1" x14ac:dyDescent="0.15">
      <c r="A156" s="28">
        <v>7</v>
      </c>
      <c r="B156" s="311" t="s">
        <v>269</v>
      </c>
      <c r="C156" s="42" t="s">
        <v>273</v>
      </c>
      <c r="D156" s="70">
        <v>3.99</v>
      </c>
      <c r="E156" s="133">
        <v>4.29</v>
      </c>
      <c r="F156" s="251">
        <f t="shared" si="2"/>
        <v>7.5187969924811915E-2</v>
      </c>
    </row>
    <row r="157" spans="1:6" ht="12.75" customHeight="1" x14ac:dyDescent="0.15">
      <c r="A157" s="28">
        <v>7</v>
      </c>
      <c r="B157" s="311" t="s">
        <v>275</v>
      </c>
      <c r="C157" s="42" t="s">
        <v>276</v>
      </c>
      <c r="D157" s="70">
        <v>3.99</v>
      </c>
      <c r="E157" s="133">
        <v>4.29</v>
      </c>
      <c r="F157" s="251">
        <f t="shared" si="2"/>
        <v>7.5187969924811915E-2</v>
      </c>
    </row>
    <row r="158" spans="1:6" ht="12.75" customHeight="1" x14ac:dyDescent="0.15">
      <c r="A158" s="28">
        <v>7</v>
      </c>
      <c r="B158" s="311" t="s">
        <v>275</v>
      </c>
      <c r="C158" s="46" t="s">
        <v>277</v>
      </c>
      <c r="D158" s="70">
        <v>3.99</v>
      </c>
      <c r="E158" s="133">
        <v>4.29</v>
      </c>
      <c r="F158" s="251">
        <f t="shared" si="2"/>
        <v>7.5187969924811915E-2</v>
      </c>
    </row>
    <row r="159" spans="1:6" ht="12.75" customHeight="1" x14ac:dyDescent="0.15">
      <c r="A159" s="28">
        <v>7</v>
      </c>
      <c r="B159" s="311" t="s">
        <v>275</v>
      </c>
      <c r="C159" s="42" t="s">
        <v>278</v>
      </c>
      <c r="D159" s="70">
        <v>3.99</v>
      </c>
      <c r="E159" s="133">
        <v>4.29</v>
      </c>
      <c r="F159" s="251">
        <f t="shared" si="2"/>
        <v>7.5187969924811915E-2</v>
      </c>
    </row>
    <row r="160" spans="1:6" ht="12.75" customHeight="1" x14ac:dyDescent="0.15">
      <c r="A160" s="28">
        <v>7</v>
      </c>
      <c r="B160" s="311" t="s">
        <v>280</v>
      </c>
      <c r="C160" s="42" t="s">
        <v>281</v>
      </c>
      <c r="D160" s="70">
        <v>3.25</v>
      </c>
      <c r="E160" s="133">
        <v>3.59</v>
      </c>
      <c r="F160" s="251">
        <f t="shared" si="2"/>
        <v>0.10461538461538455</v>
      </c>
    </row>
    <row r="161" spans="1:6" ht="12.75" customHeight="1" x14ac:dyDescent="0.15">
      <c r="A161" s="28">
        <v>7</v>
      </c>
      <c r="B161" s="311" t="s">
        <v>280</v>
      </c>
      <c r="C161" s="42" t="s">
        <v>282</v>
      </c>
      <c r="D161" s="70">
        <v>3.25</v>
      </c>
      <c r="E161" s="133">
        <v>3.59</v>
      </c>
      <c r="F161" s="251">
        <f t="shared" si="2"/>
        <v>0.10461538461538455</v>
      </c>
    </row>
    <row r="162" spans="1:6" ht="12.75" customHeight="1" x14ac:dyDescent="0.15">
      <c r="A162" s="28">
        <v>7</v>
      </c>
      <c r="B162" s="311" t="s">
        <v>280</v>
      </c>
      <c r="C162" s="42" t="s">
        <v>262</v>
      </c>
      <c r="D162" s="70">
        <v>3.25</v>
      </c>
      <c r="E162" s="133">
        <v>3.59</v>
      </c>
      <c r="F162" s="251">
        <f t="shared" si="2"/>
        <v>0.10461538461538455</v>
      </c>
    </row>
    <row r="163" spans="1:6" ht="12.75" customHeight="1" x14ac:dyDescent="0.15">
      <c r="A163" s="28">
        <v>7</v>
      </c>
      <c r="B163" s="311" t="s">
        <v>280</v>
      </c>
      <c r="C163" s="42" t="s">
        <v>283</v>
      </c>
      <c r="D163" s="70">
        <v>3.25</v>
      </c>
      <c r="E163" s="133">
        <v>3.59</v>
      </c>
      <c r="F163" s="251">
        <f t="shared" si="2"/>
        <v>0.10461538461538455</v>
      </c>
    </row>
    <row r="164" spans="1:6" ht="12.75" customHeight="1" x14ac:dyDescent="0.15">
      <c r="A164" s="28">
        <v>7</v>
      </c>
      <c r="B164" s="311" t="s">
        <v>285</v>
      </c>
      <c r="C164" s="46" t="s">
        <v>281</v>
      </c>
      <c r="D164" s="70">
        <v>2.99</v>
      </c>
      <c r="E164" s="133">
        <v>3.29</v>
      </c>
      <c r="F164" s="251">
        <f t="shared" si="2"/>
        <v>0.10033444816053505</v>
      </c>
    </row>
    <row r="165" spans="1:6" ht="12.75" customHeight="1" x14ac:dyDescent="0.15">
      <c r="A165" s="28">
        <v>7</v>
      </c>
      <c r="B165" s="311" t="s">
        <v>285</v>
      </c>
      <c r="C165" s="42" t="s">
        <v>282</v>
      </c>
      <c r="D165" s="70">
        <v>2.99</v>
      </c>
      <c r="E165" s="133">
        <v>3.29</v>
      </c>
      <c r="F165" s="251">
        <f t="shared" si="2"/>
        <v>0.10033444816053505</v>
      </c>
    </row>
    <row r="166" spans="1:6" ht="12.75" customHeight="1" x14ac:dyDescent="0.15">
      <c r="A166" s="28">
        <v>7</v>
      </c>
      <c r="B166" s="311" t="s">
        <v>285</v>
      </c>
      <c r="C166" s="42" t="s">
        <v>262</v>
      </c>
      <c r="D166" s="70">
        <v>2.99</v>
      </c>
      <c r="E166" s="133">
        <v>3.29</v>
      </c>
      <c r="F166" s="251">
        <f t="shared" si="2"/>
        <v>0.10033444816053505</v>
      </c>
    </row>
    <row r="167" spans="1:6" ht="12.75" customHeight="1" x14ac:dyDescent="0.15">
      <c r="A167" s="28">
        <v>7</v>
      </c>
      <c r="B167" s="311" t="s">
        <v>287</v>
      </c>
      <c r="C167" s="42" t="s">
        <v>737</v>
      </c>
      <c r="D167" s="70">
        <v>3.49</v>
      </c>
      <c r="E167" s="133">
        <v>3.79</v>
      </c>
      <c r="F167" s="251">
        <f t="shared" si="2"/>
        <v>8.5959885386819535E-2</v>
      </c>
    </row>
    <row r="168" spans="1:6" ht="12.75" customHeight="1" x14ac:dyDescent="0.15">
      <c r="A168" s="28">
        <v>7</v>
      </c>
      <c r="B168" s="311" t="s">
        <v>287</v>
      </c>
      <c r="C168" s="42" t="s">
        <v>289</v>
      </c>
      <c r="D168" s="70">
        <v>3.49</v>
      </c>
      <c r="E168" s="133">
        <v>3.79</v>
      </c>
      <c r="F168" s="251">
        <f t="shared" si="2"/>
        <v>8.5959885386819535E-2</v>
      </c>
    </row>
    <row r="169" spans="1:6" ht="12.75" customHeight="1" x14ac:dyDescent="0.15">
      <c r="A169" s="28">
        <v>7</v>
      </c>
      <c r="B169" s="311" t="s">
        <v>287</v>
      </c>
      <c r="C169" s="66" t="s">
        <v>290</v>
      </c>
      <c r="D169" s="70">
        <v>3.79</v>
      </c>
      <c r="E169" s="252">
        <v>3.99</v>
      </c>
      <c r="F169" s="251">
        <f t="shared" si="2"/>
        <v>5.2770448548812743E-2</v>
      </c>
    </row>
    <row r="170" spans="1:6" ht="12.75" customHeight="1" x14ac:dyDescent="0.15">
      <c r="A170" s="28">
        <v>7</v>
      </c>
      <c r="B170" s="311" t="s">
        <v>287</v>
      </c>
      <c r="C170" s="46" t="s">
        <v>291</v>
      </c>
      <c r="D170" s="70">
        <v>3.49</v>
      </c>
      <c r="E170" s="133">
        <v>3.79</v>
      </c>
      <c r="F170" s="251">
        <f t="shared" si="2"/>
        <v>8.5959885386819535E-2</v>
      </c>
    </row>
    <row r="171" spans="1:6" ht="12.75" customHeight="1" x14ac:dyDescent="0.15">
      <c r="A171" s="28">
        <v>7</v>
      </c>
      <c r="B171" s="311" t="s">
        <v>287</v>
      </c>
      <c r="C171" s="46" t="s">
        <v>292</v>
      </c>
      <c r="D171" s="70">
        <v>3.49</v>
      </c>
      <c r="E171" s="133">
        <v>3.79</v>
      </c>
      <c r="F171" s="251">
        <f t="shared" si="2"/>
        <v>8.5959885386819535E-2</v>
      </c>
    </row>
    <row r="172" spans="1:6" ht="12.75" customHeight="1" x14ac:dyDescent="0.15">
      <c r="A172" s="28">
        <v>7</v>
      </c>
      <c r="B172" s="311" t="s">
        <v>287</v>
      </c>
      <c r="C172" s="42" t="s">
        <v>293</v>
      </c>
      <c r="D172" s="70">
        <v>3.99</v>
      </c>
      <c r="E172" s="133">
        <v>4.3899999999999997</v>
      </c>
      <c r="F172" s="251">
        <f t="shared" si="2"/>
        <v>0.10025062656641581</v>
      </c>
    </row>
    <row r="173" spans="1:6" ht="12.75" customHeight="1" x14ac:dyDescent="0.15">
      <c r="A173" s="28">
        <v>7</v>
      </c>
      <c r="B173" s="311" t="s">
        <v>287</v>
      </c>
      <c r="C173" s="46" t="s">
        <v>294</v>
      </c>
      <c r="D173" s="70">
        <v>3.49</v>
      </c>
      <c r="E173" s="133">
        <v>3.79</v>
      </c>
      <c r="F173" s="251">
        <f t="shared" si="2"/>
        <v>8.5959885386819535E-2</v>
      </c>
    </row>
    <row r="174" spans="1:6" ht="12.75" customHeight="1" x14ac:dyDescent="0.15">
      <c r="A174" s="28">
        <v>7</v>
      </c>
      <c r="B174" s="311" t="s">
        <v>287</v>
      </c>
      <c r="C174" s="46" t="s">
        <v>295</v>
      </c>
      <c r="D174" s="70">
        <v>3.49</v>
      </c>
      <c r="E174" s="133">
        <v>3.79</v>
      </c>
      <c r="F174" s="251">
        <f t="shared" si="2"/>
        <v>8.5959885386819535E-2</v>
      </c>
    </row>
    <row r="175" spans="1:6" ht="12.75" customHeight="1" x14ac:dyDescent="0.15">
      <c r="A175" s="28">
        <v>7</v>
      </c>
      <c r="B175" s="311" t="s">
        <v>296</v>
      </c>
      <c r="C175" s="42" t="s">
        <v>297</v>
      </c>
      <c r="D175" s="70">
        <v>1.99</v>
      </c>
      <c r="E175" s="133">
        <v>2.25</v>
      </c>
      <c r="F175" s="251">
        <f t="shared" si="2"/>
        <v>0.13065326633165819</v>
      </c>
    </row>
    <row r="176" spans="1:6" ht="12.75" customHeight="1" x14ac:dyDescent="0.15">
      <c r="A176" s="28">
        <v>7</v>
      </c>
      <c r="B176" s="311" t="s">
        <v>296</v>
      </c>
      <c r="C176" s="42" t="s">
        <v>298</v>
      </c>
      <c r="D176" s="70">
        <v>3.29</v>
      </c>
      <c r="E176" s="252">
        <v>3.59</v>
      </c>
      <c r="F176" s="251">
        <f t="shared" si="2"/>
        <v>9.1185410334346351E-2</v>
      </c>
    </row>
    <row r="177" spans="1:6" ht="12.75" customHeight="1" x14ac:dyDescent="0.15">
      <c r="A177" s="28">
        <v>7</v>
      </c>
      <c r="B177" s="311" t="s">
        <v>296</v>
      </c>
      <c r="C177" s="42" t="s">
        <v>299</v>
      </c>
      <c r="D177" s="70">
        <v>3.25</v>
      </c>
      <c r="E177" s="133">
        <v>3.49</v>
      </c>
      <c r="F177" s="251">
        <f t="shared" si="2"/>
        <v>7.3846153846153895E-2</v>
      </c>
    </row>
    <row r="178" spans="1:6" ht="12.75" customHeight="1" x14ac:dyDescent="0.15">
      <c r="A178" s="28">
        <v>7</v>
      </c>
      <c r="B178" s="311" t="s">
        <v>296</v>
      </c>
      <c r="C178" s="42" t="s">
        <v>300</v>
      </c>
      <c r="D178" s="70">
        <v>2.4900000000000002</v>
      </c>
      <c r="E178" s="133">
        <v>2.99</v>
      </c>
      <c r="F178" s="251">
        <f t="shared" si="2"/>
        <v>0.20080321285140568</v>
      </c>
    </row>
    <row r="179" spans="1:6" ht="12.75" customHeight="1" x14ac:dyDescent="0.15">
      <c r="A179" s="28">
        <v>7</v>
      </c>
      <c r="B179" s="311" t="s">
        <v>296</v>
      </c>
      <c r="C179" s="42" t="s">
        <v>261</v>
      </c>
      <c r="D179" s="70">
        <v>1.99</v>
      </c>
      <c r="E179" s="133">
        <v>2.25</v>
      </c>
      <c r="F179" s="251">
        <f t="shared" si="2"/>
        <v>0.13065326633165819</v>
      </c>
    </row>
    <row r="180" spans="1:6" ht="12.75" hidden="1" customHeight="1" x14ac:dyDescent="0.15">
      <c r="A180" s="28">
        <v>7</v>
      </c>
      <c r="B180" s="311" t="s">
        <v>296</v>
      </c>
      <c r="C180" s="42" t="s">
        <v>301</v>
      </c>
      <c r="D180" s="70">
        <v>2.4900000000000002</v>
      </c>
      <c r="E180" s="322">
        <v>2.75</v>
      </c>
      <c r="F180" s="314"/>
    </row>
    <row r="181" spans="1:6" ht="12.75" customHeight="1" x14ac:dyDescent="0.15">
      <c r="A181" s="28">
        <v>7</v>
      </c>
      <c r="B181" s="311" t="s">
        <v>296</v>
      </c>
      <c r="C181" s="42" t="s">
        <v>302</v>
      </c>
      <c r="D181" s="70">
        <v>3.79</v>
      </c>
      <c r="E181" s="133">
        <v>4.29</v>
      </c>
      <c r="F181" s="251">
        <f t="shared" ref="F181:F232" si="3">+(E181/D181)-1</f>
        <v>0.13192612137203175</v>
      </c>
    </row>
    <row r="182" spans="1:6" ht="12.75" customHeight="1" x14ac:dyDescent="0.15">
      <c r="A182" s="28">
        <v>7</v>
      </c>
      <c r="B182" s="311" t="s">
        <v>303</v>
      </c>
      <c r="C182" s="42" t="s">
        <v>304</v>
      </c>
      <c r="D182" s="70">
        <v>2.79</v>
      </c>
      <c r="E182" s="133">
        <v>2.99</v>
      </c>
      <c r="F182" s="251">
        <f t="shared" si="3"/>
        <v>7.1684587813620082E-2</v>
      </c>
    </row>
    <row r="183" spans="1:6" ht="12.75" customHeight="1" x14ac:dyDescent="0.15">
      <c r="A183" s="28">
        <v>7</v>
      </c>
      <c r="B183" s="311" t="s">
        <v>303</v>
      </c>
      <c r="C183" s="42" t="s">
        <v>305</v>
      </c>
      <c r="D183" s="70">
        <v>2.79</v>
      </c>
      <c r="E183" s="133">
        <v>2.99</v>
      </c>
      <c r="F183" s="251">
        <f t="shared" si="3"/>
        <v>7.1684587813620082E-2</v>
      </c>
    </row>
    <row r="184" spans="1:6" ht="12.75" customHeight="1" x14ac:dyDescent="0.15">
      <c r="A184" s="28">
        <v>7</v>
      </c>
      <c r="B184" s="311" t="s">
        <v>309</v>
      </c>
      <c r="C184" s="42" t="s">
        <v>310</v>
      </c>
      <c r="D184" s="70">
        <v>2.99</v>
      </c>
      <c r="E184" s="133">
        <v>3.25</v>
      </c>
      <c r="F184" s="251">
        <f t="shared" si="3"/>
        <v>8.6956521739130377E-2</v>
      </c>
    </row>
    <row r="185" spans="1:6" ht="12.75" customHeight="1" x14ac:dyDescent="0.15">
      <c r="A185" s="28">
        <v>7</v>
      </c>
      <c r="B185" s="311" t="s">
        <v>309</v>
      </c>
      <c r="C185" s="42" t="s">
        <v>281</v>
      </c>
      <c r="D185" s="70">
        <v>2.99</v>
      </c>
      <c r="E185" s="133">
        <v>3.25</v>
      </c>
      <c r="F185" s="251">
        <f t="shared" si="3"/>
        <v>8.6956521739130377E-2</v>
      </c>
    </row>
    <row r="186" spans="1:6" ht="12.75" customHeight="1" x14ac:dyDescent="0.15">
      <c r="A186" s="28">
        <v>7</v>
      </c>
      <c r="B186" s="311" t="s">
        <v>309</v>
      </c>
      <c r="C186" s="42" t="s">
        <v>256</v>
      </c>
      <c r="D186" s="70">
        <v>2.99</v>
      </c>
      <c r="E186" s="133">
        <v>3.25</v>
      </c>
      <c r="F186" s="251">
        <f t="shared" si="3"/>
        <v>8.6956521739130377E-2</v>
      </c>
    </row>
    <row r="187" spans="1:6" ht="12.75" customHeight="1" x14ac:dyDescent="0.15">
      <c r="A187" s="28">
        <v>7</v>
      </c>
      <c r="B187" s="311" t="s">
        <v>311</v>
      </c>
      <c r="C187" s="42" t="s">
        <v>310</v>
      </c>
      <c r="D187" s="70">
        <v>2.25</v>
      </c>
      <c r="E187" s="133">
        <v>2.39</v>
      </c>
      <c r="F187" s="251">
        <f t="shared" si="3"/>
        <v>6.2222222222222179E-2</v>
      </c>
    </row>
    <row r="188" spans="1:6" ht="12.75" customHeight="1" x14ac:dyDescent="0.15">
      <c r="A188" s="28">
        <v>7</v>
      </c>
      <c r="B188" s="311" t="s">
        <v>311</v>
      </c>
      <c r="C188" s="42" t="s">
        <v>281</v>
      </c>
      <c r="D188" s="70">
        <v>2.25</v>
      </c>
      <c r="E188" s="133">
        <v>2.39</v>
      </c>
      <c r="F188" s="251">
        <f t="shared" si="3"/>
        <v>6.2222222222222179E-2</v>
      </c>
    </row>
    <row r="189" spans="1:6" ht="12.75" customHeight="1" x14ac:dyDescent="0.15">
      <c r="A189" s="28">
        <v>7</v>
      </c>
      <c r="B189" s="311" t="s">
        <v>313</v>
      </c>
      <c r="C189" s="42" t="s">
        <v>281</v>
      </c>
      <c r="D189" s="70">
        <v>4.6900000000000004</v>
      </c>
      <c r="E189" s="252">
        <v>4.99</v>
      </c>
      <c r="F189" s="251">
        <f t="shared" si="3"/>
        <v>6.3965884861407307E-2</v>
      </c>
    </row>
    <row r="190" spans="1:6" ht="12.75" customHeight="1" x14ac:dyDescent="0.15">
      <c r="A190" s="28">
        <v>7</v>
      </c>
      <c r="B190" s="311" t="s">
        <v>313</v>
      </c>
      <c r="C190" s="42" t="s">
        <v>314</v>
      </c>
      <c r="D190" s="70">
        <v>4.6900000000000004</v>
      </c>
      <c r="E190" s="252">
        <v>4.99</v>
      </c>
      <c r="F190" s="251">
        <f t="shared" si="3"/>
        <v>6.3965884861407307E-2</v>
      </c>
    </row>
    <row r="191" spans="1:6" ht="12.75" customHeight="1" x14ac:dyDescent="0.15">
      <c r="A191" s="28">
        <v>7</v>
      </c>
      <c r="B191" s="311" t="s">
        <v>313</v>
      </c>
      <c r="C191" s="42" t="s">
        <v>315</v>
      </c>
      <c r="D191" s="70">
        <v>4.6900000000000004</v>
      </c>
      <c r="E191" s="252">
        <v>4.99</v>
      </c>
      <c r="F191" s="251">
        <f t="shared" si="3"/>
        <v>6.3965884861407307E-2</v>
      </c>
    </row>
    <row r="192" spans="1:6" ht="12.75" customHeight="1" x14ac:dyDescent="0.15">
      <c r="A192" s="28">
        <v>7</v>
      </c>
      <c r="B192" s="311" t="s">
        <v>313</v>
      </c>
      <c r="C192" s="42" t="s">
        <v>316</v>
      </c>
      <c r="D192" s="70">
        <v>4.6900000000000004</v>
      </c>
      <c r="E192" s="252">
        <v>4.99</v>
      </c>
      <c r="F192" s="251">
        <f t="shared" si="3"/>
        <v>6.3965884861407307E-2</v>
      </c>
    </row>
    <row r="193" spans="1:6" ht="12.75" customHeight="1" x14ac:dyDescent="0.15">
      <c r="A193" s="28">
        <v>7</v>
      </c>
      <c r="B193" s="311" t="s">
        <v>313</v>
      </c>
      <c r="C193" s="42" t="s">
        <v>317</v>
      </c>
      <c r="D193" s="70">
        <v>4.6900000000000004</v>
      </c>
      <c r="E193" s="252">
        <v>4.99</v>
      </c>
      <c r="F193" s="251">
        <f t="shared" si="3"/>
        <v>6.3965884861407307E-2</v>
      </c>
    </row>
    <row r="194" spans="1:6" ht="12.75" customHeight="1" x14ac:dyDescent="0.15">
      <c r="A194" s="28">
        <v>7</v>
      </c>
      <c r="B194" s="311" t="s">
        <v>313</v>
      </c>
      <c r="C194" s="42" t="s">
        <v>318</v>
      </c>
      <c r="D194" s="70">
        <v>4.6900000000000004</v>
      </c>
      <c r="E194" s="252">
        <v>4.99</v>
      </c>
      <c r="F194" s="251">
        <f t="shared" si="3"/>
        <v>6.3965884861407307E-2</v>
      </c>
    </row>
    <row r="195" spans="1:6" ht="12.75" customHeight="1" x14ac:dyDescent="0.15">
      <c r="A195" s="28">
        <v>7</v>
      </c>
      <c r="B195" s="311" t="s">
        <v>313</v>
      </c>
      <c r="C195" s="42" t="s">
        <v>319</v>
      </c>
      <c r="D195" s="70">
        <v>4.6900000000000004</v>
      </c>
      <c r="E195" s="252">
        <v>4.99</v>
      </c>
      <c r="F195" s="251">
        <f t="shared" si="3"/>
        <v>6.3965884861407307E-2</v>
      </c>
    </row>
    <row r="196" spans="1:6" ht="12.75" customHeight="1" x14ac:dyDescent="0.15">
      <c r="A196" s="28">
        <v>7</v>
      </c>
      <c r="B196" s="311" t="s">
        <v>326</v>
      </c>
      <c r="C196" s="46" t="s">
        <v>327</v>
      </c>
      <c r="D196" s="70">
        <v>3.99</v>
      </c>
      <c r="E196" s="133">
        <v>4.25</v>
      </c>
      <c r="F196" s="251">
        <f t="shared" si="3"/>
        <v>6.5162907268170311E-2</v>
      </c>
    </row>
    <row r="197" spans="1:6" ht="12.75" customHeight="1" x14ac:dyDescent="0.15">
      <c r="A197" s="28">
        <v>7</v>
      </c>
      <c r="B197" s="311" t="s">
        <v>326</v>
      </c>
      <c r="C197" s="303" t="s">
        <v>328</v>
      </c>
      <c r="D197" s="70">
        <v>3.79</v>
      </c>
      <c r="E197" s="252">
        <v>4.25</v>
      </c>
      <c r="F197" s="251">
        <f t="shared" si="3"/>
        <v>0.12137203166226906</v>
      </c>
    </row>
    <row r="198" spans="1:6" ht="12.75" hidden="1" customHeight="1" x14ac:dyDescent="0.15">
      <c r="A198" s="28">
        <v>7</v>
      </c>
      <c r="B198" s="311" t="s">
        <v>738</v>
      </c>
      <c r="C198" s="46" t="s">
        <v>933</v>
      </c>
      <c r="D198" s="70">
        <v>2.99</v>
      </c>
      <c r="E198" s="142">
        <v>2.99</v>
      </c>
      <c r="F198" s="251">
        <f t="shared" si="3"/>
        <v>0</v>
      </c>
    </row>
    <row r="199" spans="1:6" ht="12.75" hidden="1" customHeight="1" x14ac:dyDescent="0.15">
      <c r="A199" s="28">
        <v>7</v>
      </c>
      <c r="B199" s="311" t="s">
        <v>738</v>
      </c>
      <c r="C199" s="42" t="s">
        <v>329</v>
      </c>
      <c r="D199" s="70">
        <v>9.99</v>
      </c>
      <c r="E199" s="142">
        <v>9.99</v>
      </c>
      <c r="F199" s="251">
        <f t="shared" si="3"/>
        <v>0</v>
      </c>
    </row>
    <row r="200" spans="1:6" ht="12.75" hidden="1" customHeight="1" x14ac:dyDescent="0.15">
      <c r="A200" s="28">
        <v>7</v>
      </c>
      <c r="B200" s="311" t="s">
        <v>738</v>
      </c>
      <c r="C200" s="42" t="s">
        <v>330</v>
      </c>
      <c r="D200" s="70">
        <v>9.99</v>
      </c>
      <c r="E200" s="142">
        <v>9.99</v>
      </c>
      <c r="F200" s="251">
        <f t="shared" si="3"/>
        <v>0</v>
      </c>
    </row>
    <row r="201" spans="1:6" ht="12.75" hidden="1" customHeight="1" x14ac:dyDescent="0.15">
      <c r="A201" s="28">
        <v>7</v>
      </c>
      <c r="B201" s="311" t="s">
        <v>738</v>
      </c>
      <c r="C201" s="42" t="s">
        <v>331</v>
      </c>
      <c r="D201" s="70">
        <v>9.99</v>
      </c>
      <c r="E201" s="142">
        <v>9.99</v>
      </c>
      <c r="F201" s="251">
        <f t="shared" si="3"/>
        <v>0</v>
      </c>
    </row>
    <row r="202" spans="1:6" ht="12.75" hidden="1" customHeight="1" x14ac:dyDescent="0.15">
      <c r="A202" s="28">
        <v>7</v>
      </c>
      <c r="B202" s="311" t="s">
        <v>738</v>
      </c>
      <c r="C202" s="42" t="s">
        <v>332</v>
      </c>
      <c r="D202" s="70">
        <v>9.99</v>
      </c>
      <c r="E202" s="142">
        <v>9.99</v>
      </c>
      <c r="F202" s="251">
        <f t="shared" si="3"/>
        <v>0</v>
      </c>
    </row>
    <row r="203" spans="1:6" ht="12.75" hidden="1" customHeight="1" x14ac:dyDescent="0.15">
      <c r="A203" s="28">
        <v>7</v>
      </c>
      <c r="B203" s="311" t="s">
        <v>738</v>
      </c>
      <c r="C203" s="42" t="s">
        <v>333</v>
      </c>
      <c r="D203" s="70">
        <v>9.99</v>
      </c>
      <c r="E203" s="142">
        <v>9.99</v>
      </c>
      <c r="F203" s="251">
        <f t="shared" si="3"/>
        <v>0</v>
      </c>
    </row>
    <row r="204" spans="1:6" ht="12.75" hidden="1" customHeight="1" x14ac:dyDescent="0.15">
      <c r="A204" s="28">
        <v>7</v>
      </c>
      <c r="B204" s="311" t="s">
        <v>738</v>
      </c>
      <c r="C204" s="42" t="s">
        <v>334</v>
      </c>
      <c r="D204" s="70">
        <v>13.99</v>
      </c>
      <c r="E204" s="142">
        <v>13.99</v>
      </c>
      <c r="F204" s="251">
        <f t="shared" si="3"/>
        <v>0</v>
      </c>
    </row>
    <row r="205" spans="1:6" ht="12.75" hidden="1" customHeight="1" x14ac:dyDescent="0.15">
      <c r="A205" s="28">
        <v>7</v>
      </c>
      <c r="B205" s="311" t="s">
        <v>738</v>
      </c>
      <c r="C205" s="42" t="s">
        <v>335</v>
      </c>
      <c r="D205" s="70">
        <v>11.99</v>
      </c>
      <c r="E205" s="142">
        <v>11.99</v>
      </c>
      <c r="F205" s="251">
        <f t="shared" si="3"/>
        <v>0</v>
      </c>
    </row>
    <row r="206" spans="1:6" ht="12.75" hidden="1" customHeight="1" x14ac:dyDescent="0.15">
      <c r="A206" s="28">
        <v>7</v>
      </c>
      <c r="B206" s="311" t="s">
        <v>738</v>
      </c>
      <c r="C206" s="78" t="s">
        <v>336</v>
      </c>
      <c r="D206" s="144">
        <v>11.99</v>
      </c>
      <c r="E206" s="155">
        <v>11.99</v>
      </c>
      <c r="F206" s="251">
        <f t="shared" si="3"/>
        <v>0</v>
      </c>
    </row>
    <row r="207" spans="1:6" ht="12.75" hidden="1" customHeight="1" x14ac:dyDescent="0.15">
      <c r="A207" s="28">
        <v>7</v>
      </c>
      <c r="B207" s="310" t="s">
        <v>337</v>
      </c>
      <c r="C207" s="61" t="s">
        <v>739</v>
      </c>
      <c r="D207" s="141">
        <v>10.99</v>
      </c>
      <c r="E207" s="140">
        <v>10.99</v>
      </c>
      <c r="F207" s="251">
        <f t="shared" si="3"/>
        <v>0</v>
      </c>
    </row>
    <row r="208" spans="1:6" ht="12.75" hidden="1" customHeight="1" x14ac:dyDescent="0.15">
      <c r="A208" s="28">
        <v>7</v>
      </c>
      <c r="B208" s="310" t="s">
        <v>337</v>
      </c>
      <c r="C208" s="42" t="s">
        <v>342</v>
      </c>
      <c r="D208" s="70">
        <v>9.99</v>
      </c>
      <c r="E208" s="142">
        <v>9.99</v>
      </c>
      <c r="F208" s="251">
        <f t="shared" si="3"/>
        <v>0</v>
      </c>
    </row>
    <row r="209" spans="1:6" ht="12.75" hidden="1" customHeight="1" x14ac:dyDescent="0.15">
      <c r="A209" s="28">
        <v>7</v>
      </c>
      <c r="B209" s="310" t="s">
        <v>337</v>
      </c>
      <c r="C209" s="42" t="s">
        <v>343</v>
      </c>
      <c r="D209" s="70">
        <v>12.99</v>
      </c>
      <c r="E209" s="142">
        <v>12.99</v>
      </c>
      <c r="F209" s="251">
        <f t="shared" si="3"/>
        <v>0</v>
      </c>
    </row>
    <row r="210" spans="1:6" ht="12.75" hidden="1" customHeight="1" x14ac:dyDescent="0.15">
      <c r="A210" s="28">
        <v>7</v>
      </c>
      <c r="B210" s="310" t="s">
        <v>337</v>
      </c>
      <c r="C210" s="42" t="s">
        <v>345</v>
      </c>
      <c r="D210" s="70">
        <v>13.99</v>
      </c>
      <c r="E210" s="142">
        <v>13.99</v>
      </c>
      <c r="F210" s="251">
        <f t="shared" si="3"/>
        <v>0</v>
      </c>
    </row>
    <row r="211" spans="1:6" ht="12.75" hidden="1" customHeight="1" x14ac:dyDescent="0.15">
      <c r="A211" s="28">
        <v>7</v>
      </c>
      <c r="B211" s="311" t="s">
        <v>337</v>
      </c>
      <c r="C211" s="42" t="s">
        <v>346</v>
      </c>
      <c r="D211" s="70">
        <v>9.99</v>
      </c>
      <c r="E211" s="142">
        <v>9.99</v>
      </c>
      <c r="F211" s="251">
        <f t="shared" si="3"/>
        <v>0</v>
      </c>
    </row>
    <row r="212" spans="1:6" ht="12.75" hidden="1" customHeight="1" x14ac:dyDescent="0.15">
      <c r="A212" s="28">
        <v>7</v>
      </c>
      <c r="B212" s="311" t="s">
        <v>337</v>
      </c>
      <c r="C212" s="42" t="s">
        <v>347</v>
      </c>
      <c r="D212" s="70">
        <v>8.99</v>
      </c>
      <c r="E212" s="142">
        <v>8.99</v>
      </c>
      <c r="F212" s="251">
        <f t="shared" si="3"/>
        <v>0</v>
      </c>
    </row>
    <row r="213" spans="1:6" ht="12.75" customHeight="1" x14ac:dyDescent="0.15">
      <c r="A213" s="28">
        <v>7</v>
      </c>
      <c r="B213" s="311" t="s">
        <v>337</v>
      </c>
      <c r="C213" s="42" t="s">
        <v>348</v>
      </c>
      <c r="D213" s="70">
        <v>12.99</v>
      </c>
      <c r="E213" s="142">
        <v>14.99</v>
      </c>
      <c r="F213" s="251">
        <f t="shared" si="3"/>
        <v>0.15396458814472669</v>
      </c>
    </row>
    <row r="214" spans="1:6" ht="12.75" hidden="1" customHeight="1" x14ac:dyDescent="0.15">
      <c r="A214" s="28">
        <v>7</v>
      </c>
      <c r="B214" s="311" t="s">
        <v>337</v>
      </c>
      <c r="C214" s="42" t="s">
        <v>349</v>
      </c>
      <c r="D214" s="70">
        <v>24</v>
      </c>
      <c r="E214" s="142">
        <v>24</v>
      </c>
      <c r="F214" s="251">
        <f t="shared" si="3"/>
        <v>0</v>
      </c>
    </row>
    <row r="215" spans="1:6" ht="12.75" hidden="1" customHeight="1" x14ac:dyDescent="0.15">
      <c r="A215" s="28">
        <v>7</v>
      </c>
      <c r="B215" s="311" t="s">
        <v>337</v>
      </c>
      <c r="C215" s="42" t="s">
        <v>350</v>
      </c>
      <c r="D215" s="70">
        <v>22</v>
      </c>
      <c r="E215" s="142">
        <v>22</v>
      </c>
      <c r="F215" s="251">
        <f t="shared" si="3"/>
        <v>0</v>
      </c>
    </row>
    <row r="216" spans="1:6" ht="24" customHeight="1" x14ac:dyDescent="0.15">
      <c r="A216" s="6">
        <v>8</v>
      </c>
      <c r="B216" s="323" t="s">
        <v>157</v>
      </c>
      <c r="C216" s="21" t="s">
        <v>158</v>
      </c>
      <c r="D216" s="13">
        <v>8.99</v>
      </c>
      <c r="E216" s="133">
        <v>9.49</v>
      </c>
      <c r="F216" s="251">
        <f t="shared" si="3"/>
        <v>5.5617352614015569E-2</v>
      </c>
    </row>
    <row r="217" spans="1:6" ht="12.75" customHeight="1" x14ac:dyDescent="0.15">
      <c r="A217" s="6">
        <v>8</v>
      </c>
      <c r="B217" s="309" t="s">
        <v>159</v>
      </c>
      <c r="C217" s="21" t="s">
        <v>158</v>
      </c>
      <c r="D217" s="13">
        <v>7.99</v>
      </c>
      <c r="E217" s="133">
        <v>8.49</v>
      </c>
      <c r="F217" s="251">
        <f t="shared" si="3"/>
        <v>6.2578222778473025E-2</v>
      </c>
    </row>
    <row r="218" spans="1:6" ht="12.75" customHeight="1" x14ac:dyDescent="0.15">
      <c r="A218" s="6">
        <v>8</v>
      </c>
      <c r="B218" s="309" t="s">
        <v>160</v>
      </c>
      <c r="C218" s="21" t="s">
        <v>161</v>
      </c>
      <c r="D218" s="13">
        <v>9.49</v>
      </c>
      <c r="E218" s="133">
        <v>10.49</v>
      </c>
      <c r="F218" s="251">
        <f t="shared" si="3"/>
        <v>0.10537407797681775</v>
      </c>
    </row>
    <row r="219" spans="1:6" ht="12.75" customHeight="1" x14ac:dyDescent="0.15">
      <c r="A219" s="6">
        <v>8</v>
      </c>
      <c r="B219" s="309" t="s">
        <v>162</v>
      </c>
      <c r="C219" s="21" t="s">
        <v>163</v>
      </c>
      <c r="D219" s="13">
        <v>7.49</v>
      </c>
      <c r="E219" s="133">
        <v>7.99</v>
      </c>
      <c r="F219" s="251">
        <f t="shared" si="3"/>
        <v>6.6755674232309659E-2</v>
      </c>
    </row>
    <row r="220" spans="1:6" ht="12.75" customHeight="1" x14ac:dyDescent="0.15">
      <c r="A220" s="6">
        <v>8</v>
      </c>
      <c r="B220" s="309" t="s">
        <v>164</v>
      </c>
      <c r="C220" s="21" t="s">
        <v>165</v>
      </c>
      <c r="D220" s="13">
        <v>9.99</v>
      </c>
      <c r="E220" s="133">
        <v>10.49</v>
      </c>
      <c r="F220" s="251">
        <f t="shared" si="3"/>
        <v>5.0050050050050032E-2</v>
      </c>
    </row>
    <row r="221" spans="1:6" ht="12.75" customHeight="1" x14ac:dyDescent="0.15">
      <c r="A221" s="6">
        <v>8</v>
      </c>
      <c r="B221" s="309" t="s">
        <v>164</v>
      </c>
      <c r="C221" s="21" t="s">
        <v>166</v>
      </c>
      <c r="D221" s="13">
        <v>10.49</v>
      </c>
      <c r="E221" s="133">
        <v>10.99</v>
      </c>
      <c r="F221" s="251">
        <f t="shared" si="3"/>
        <v>4.7664442326024847E-2</v>
      </c>
    </row>
    <row r="222" spans="1:6" ht="12.75" customHeight="1" x14ac:dyDescent="0.15">
      <c r="A222" s="6">
        <v>8</v>
      </c>
      <c r="B222" s="309" t="s">
        <v>164</v>
      </c>
      <c r="C222" s="21" t="s">
        <v>167</v>
      </c>
      <c r="D222" s="13">
        <v>10.49</v>
      </c>
      <c r="E222" s="133">
        <v>11.49</v>
      </c>
      <c r="F222" s="251">
        <f t="shared" si="3"/>
        <v>9.5328884652049473E-2</v>
      </c>
    </row>
    <row r="223" spans="1:6" ht="12.75" customHeight="1" x14ac:dyDescent="0.15">
      <c r="A223" s="6">
        <v>8</v>
      </c>
      <c r="B223" s="323" t="s">
        <v>168</v>
      </c>
      <c r="C223" s="12" t="s">
        <v>169</v>
      </c>
      <c r="D223" s="13">
        <v>7.99</v>
      </c>
      <c r="E223" s="133">
        <v>8.49</v>
      </c>
      <c r="F223" s="251">
        <f t="shared" si="3"/>
        <v>6.2578222778473025E-2</v>
      </c>
    </row>
    <row r="224" spans="1:6" ht="12.75" customHeight="1" x14ac:dyDescent="0.15">
      <c r="A224" s="6">
        <v>8</v>
      </c>
      <c r="B224" s="323" t="s">
        <v>170</v>
      </c>
      <c r="C224" s="12" t="s">
        <v>171</v>
      </c>
      <c r="D224" s="13">
        <v>9.99</v>
      </c>
      <c r="E224" s="133">
        <v>10.49</v>
      </c>
      <c r="F224" s="251">
        <f t="shared" si="3"/>
        <v>5.0050050050050032E-2</v>
      </c>
    </row>
    <row r="225" spans="1:6" ht="12.75" customHeight="1" x14ac:dyDescent="0.15">
      <c r="A225" s="6">
        <v>8</v>
      </c>
      <c r="B225" s="323" t="s">
        <v>172</v>
      </c>
      <c r="C225" s="12" t="s">
        <v>173</v>
      </c>
      <c r="D225" s="13">
        <v>8.99</v>
      </c>
      <c r="E225" s="133">
        <v>9.49</v>
      </c>
      <c r="F225" s="251">
        <f t="shared" si="3"/>
        <v>5.5617352614015569E-2</v>
      </c>
    </row>
    <row r="226" spans="1:6" ht="12.75" hidden="1" customHeight="1" x14ac:dyDescent="0.15">
      <c r="A226" s="6">
        <v>8</v>
      </c>
      <c r="B226" s="309" t="s">
        <v>174</v>
      </c>
      <c r="C226" s="12" t="s">
        <v>175</v>
      </c>
      <c r="D226" s="13">
        <v>8.99</v>
      </c>
      <c r="E226" s="133">
        <v>8.99</v>
      </c>
      <c r="F226" s="251">
        <f t="shared" si="3"/>
        <v>0</v>
      </c>
    </row>
    <row r="227" spans="1:6" ht="12.75" hidden="1" customHeight="1" x14ac:dyDescent="0.15">
      <c r="A227" s="6">
        <v>8</v>
      </c>
      <c r="B227" s="323" t="s">
        <v>178</v>
      </c>
      <c r="C227" s="21" t="s">
        <v>179</v>
      </c>
      <c r="D227" s="13">
        <v>8.99</v>
      </c>
      <c r="E227" s="133">
        <v>8.99</v>
      </c>
      <c r="F227" s="251">
        <f t="shared" si="3"/>
        <v>0</v>
      </c>
    </row>
    <row r="228" spans="1:6" ht="12.75" customHeight="1" x14ac:dyDescent="0.15">
      <c r="A228" s="6">
        <v>8</v>
      </c>
      <c r="B228" s="323" t="s">
        <v>180</v>
      </c>
      <c r="C228" s="21" t="s">
        <v>727</v>
      </c>
      <c r="D228" s="13">
        <v>8.49</v>
      </c>
      <c r="E228" s="133">
        <v>8.99</v>
      </c>
      <c r="F228" s="251">
        <f t="shared" si="3"/>
        <v>5.8892815076560634E-2</v>
      </c>
    </row>
    <row r="229" spans="1:6" ht="12.75" customHeight="1" x14ac:dyDescent="0.15">
      <c r="A229" s="6">
        <v>8</v>
      </c>
      <c r="B229" s="323" t="s">
        <v>182</v>
      </c>
      <c r="C229" s="21" t="s">
        <v>183</v>
      </c>
      <c r="D229" s="13">
        <v>6.99</v>
      </c>
      <c r="E229" s="133">
        <v>7.99</v>
      </c>
      <c r="F229" s="251">
        <f t="shared" si="3"/>
        <v>0.14306151645207432</v>
      </c>
    </row>
    <row r="230" spans="1:6" ht="12.75" hidden="1" customHeight="1" x14ac:dyDescent="0.15">
      <c r="A230" s="6">
        <v>8</v>
      </c>
      <c r="B230" s="309" t="s">
        <v>184</v>
      </c>
      <c r="C230" s="21" t="s">
        <v>728</v>
      </c>
      <c r="D230" s="13">
        <v>4.99</v>
      </c>
      <c r="E230" s="133">
        <v>4.99</v>
      </c>
      <c r="F230" s="251">
        <f t="shared" si="3"/>
        <v>0</v>
      </c>
    </row>
    <row r="231" spans="1:6" ht="12.75" hidden="1" customHeight="1" x14ac:dyDescent="0.15">
      <c r="A231" s="6">
        <v>8</v>
      </c>
      <c r="B231" s="323" t="s">
        <v>186</v>
      </c>
      <c r="C231" s="12" t="s">
        <v>187</v>
      </c>
      <c r="D231" s="13">
        <v>4.99</v>
      </c>
      <c r="E231" s="133">
        <v>4.99</v>
      </c>
      <c r="F231" s="251">
        <f t="shared" si="3"/>
        <v>0</v>
      </c>
    </row>
    <row r="232" spans="1:6" ht="12.75" hidden="1" customHeight="1" x14ac:dyDescent="0.15">
      <c r="A232" s="6">
        <v>8</v>
      </c>
      <c r="B232" s="323" t="s">
        <v>188</v>
      </c>
      <c r="C232" s="19" t="s">
        <v>729</v>
      </c>
      <c r="D232" s="92">
        <v>10.99</v>
      </c>
      <c r="E232" s="133">
        <v>10.99</v>
      </c>
      <c r="F232" s="251">
        <f t="shared" si="3"/>
        <v>0</v>
      </c>
    </row>
    <row r="233" spans="1:6" ht="12.75" hidden="1" customHeight="1" x14ac:dyDescent="0.15">
      <c r="A233" s="6">
        <v>8</v>
      </c>
      <c r="B233" s="324" t="s">
        <v>190</v>
      </c>
      <c r="C233" s="325" t="s">
        <v>191</v>
      </c>
      <c r="D233" s="326">
        <v>8.99</v>
      </c>
      <c r="E233" s="148"/>
      <c r="F233" s="251"/>
    </row>
    <row r="234" spans="1:6" ht="12.75" customHeight="1" x14ac:dyDescent="0.15">
      <c r="A234" s="6">
        <v>8</v>
      </c>
      <c r="B234" s="327" t="s">
        <v>192</v>
      </c>
      <c r="C234" s="12" t="s">
        <v>193</v>
      </c>
      <c r="D234" s="13">
        <v>8.99</v>
      </c>
      <c r="E234" s="133">
        <v>9.99</v>
      </c>
      <c r="F234" s="251">
        <f t="shared" ref="F234:F245" si="4">+(E234/D234)-1</f>
        <v>0.11123470522803114</v>
      </c>
    </row>
    <row r="235" spans="1:6" ht="12.75" customHeight="1" x14ac:dyDescent="0.15">
      <c r="A235" s="6">
        <v>8</v>
      </c>
      <c r="B235" s="323" t="s">
        <v>194</v>
      </c>
      <c r="C235" s="12" t="s">
        <v>158</v>
      </c>
      <c r="D235" s="13">
        <v>6.49</v>
      </c>
      <c r="E235" s="133">
        <v>6.99</v>
      </c>
      <c r="F235" s="251">
        <f t="shared" si="4"/>
        <v>7.7041602465331316E-2</v>
      </c>
    </row>
    <row r="236" spans="1:6" ht="12.75" customHeight="1" x14ac:dyDescent="0.15">
      <c r="A236" s="6">
        <v>8</v>
      </c>
      <c r="B236" s="323" t="s">
        <v>195</v>
      </c>
      <c r="C236" s="12" t="s">
        <v>196</v>
      </c>
      <c r="D236" s="13">
        <v>4.49</v>
      </c>
      <c r="E236" s="133">
        <v>4.99</v>
      </c>
      <c r="F236" s="251">
        <f t="shared" si="4"/>
        <v>0.11135857461024501</v>
      </c>
    </row>
    <row r="237" spans="1:6" ht="12.75" customHeight="1" x14ac:dyDescent="0.15">
      <c r="A237" s="6">
        <v>8</v>
      </c>
      <c r="B237" s="311" t="s">
        <v>201</v>
      </c>
      <c r="C237" s="42" t="s">
        <v>202</v>
      </c>
      <c r="D237" s="70">
        <v>12.99</v>
      </c>
      <c r="E237" s="133">
        <v>13.99</v>
      </c>
      <c r="F237" s="251">
        <f t="shared" si="4"/>
        <v>7.6982294072363455E-2</v>
      </c>
    </row>
    <row r="238" spans="1:6" ht="12.75" customHeight="1" x14ac:dyDescent="0.15">
      <c r="A238" s="6">
        <v>8</v>
      </c>
      <c r="B238" s="309" t="s">
        <v>203</v>
      </c>
      <c r="C238" s="46" t="s">
        <v>204</v>
      </c>
      <c r="D238" s="70">
        <v>10.99</v>
      </c>
      <c r="E238" s="133">
        <v>11.49</v>
      </c>
      <c r="F238" s="251">
        <f t="shared" si="4"/>
        <v>4.5495905368516887E-2</v>
      </c>
    </row>
    <row r="239" spans="1:6" ht="12.75" customHeight="1" x14ac:dyDescent="0.15">
      <c r="A239" s="6">
        <v>8</v>
      </c>
      <c r="B239" s="311" t="s">
        <v>205</v>
      </c>
      <c r="C239" s="46" t="s">
        <v>206</v>
      </c>
      <c r="D239" s="70">
        <v>10.99</v>
      </c>
      <c r="E239" s="133">
        <v>11.49</v>
      </c>
      <c r="F239" s="251">
        <f t="shared" si="4"/>
        <v>4.5495905368516887E-2</v>
      </c>
    </row>
    <row r="240" spans="1:6" ht="12.75" customHeight="1" x14ac:dyDescent="0.15">
      <c r="A240" s="6">
        <v>8</v>
      </c>
      <c r="B240" s="311" t="s">
        <v>207</v>
      </c>
      <c r="C240" s="42" t="s">
        <v>208</v>
      </c>
      <c r="D240" s="70">
        <v>10.99</v>
      </c>
      <c r="E240" s="133">
        <v>11.49</v>
      </c>
      <c r="F240" s="251">
        <f t="shared" si="4"/>
        <v>4.5495905368516887E-2</v>
      </c>
    </row>
    <row r="241" spans="1:6" ht="12.75" customHeight="1" x14ac:dyDescent="0.15">
      <c r="A241" s="6">
        <v>8</v>
      </c>
      <c r="B241" s="311" t="s">
        <v>209</v>
      </c>
      <c r="C241" s="42" t="s">
        <v>730</v>
      </c>
      <c r="D241" s="70">
        <v>10.49</v>
      </c>
      <c r="E241" s="133">
        <v>10.99</v>
      </c>
      <c r="F241" s="251">
        <f t="shared" si="4"/>
        <v>4.7664442326024847E-2</v>
      </c>
    </row>
    <row r="242" spans="1:6" ht="12.75" customHeight="1" x14ac:dyDescent="0.15">
      <c r="A242" s="6">
        <v>8</v>
      </c>
      <c r="B242" s="311" t="s">
        <v>211</v>
      </c>
      <c r="C242" s="46" t="s">
        <v>731</v>
      </c>
      <c r="D242" s="70">
        <v>10.49</v>
      </c>
      <c r="E242" s="133">
        <v>10.99</v>
      </c>
      <c r="F242" s="251">
        <f t="shared" si="4"/>
        <v>4.7664442326024847E-2</v>
      </c>
    </row>
    <row r="243" spans="1:6" ht="12.75" customHeight="1" x14ac:dyDescent="0.15">
      <c r="A243" s="6">
        <v>8</v>
      </c>
      <c r="B243" s="311" t="s">
        <v>213</v>
      </c>
      <c r="C243" s="42" t="s">
        <v>214</v>
      </c>
      <c r="D243" s="70">
        <v>10.99</v>
      </c>
      <c r="E243" s="133">
        <v>11.49</v>
      </c>
      <c r="F243" s="251">
        <f t="shared" si="4"/>
        <v>4.5495905368516887E-2</v>
      </c>
    </row>
    <row r="244" spans="1:6" ht="12.75" hidden="1" customHeight="1" x14ac:dyDescent="0.15">
      <c r="A244" s="6">
        <v>8</v>
      </c>
      <c r="B244" s="311" t="s">
        <v>215</v>
      </c>
      <c r="C244" s="42" t="s">
        <v>732</v>
      </c>
      <c r="D244" s="70">
        <v>10.99</v>
      </c>
      <c r="E244" s="133">
        <v>10.99</v>
      </c>
      <c r="F244" s="251">
        <f t="shared" si="4"/>
        <v>0</v>
      </c>
    </row>
    <row r="245" spans="1:6" ht="12.75" customHeight="1" x14ac:dyDescent="0.15">
      <c r="A245" s="6">
        <v>8</v>
      </c>
      <c r="B245" s="311" t="s">
        <v>217</v>
      </c>
      <c r="C245" s="46" t="s">
        <v>733</v>
      </c>
      <c r="D245" s="70">
        <v>10.49</v>
      </c>
      <c r="E245" s="133">
        <v>10.99</v>
      </c>
      <c r="F245" s="251">
        <f t="shared" si="4"/>
        <v>4.7664442326024847E-2</v>
      </c>
    </row>
    <row r="246" spans="1:6" ht="12.75" hidden="1" customHeight="1" x14ac:dyDescent="0.15">
      <c r="A246" s="6">
        <v>8</v>
      </c>
      <c r="B246" s="328" t="s">
        <v>219</v>
      </c>
      <c r="C246" s="329" t="s">
        <v>734</v>
      </c>
      <c r="D246" s="158">
        <v>10.99</v>
      </c>
      <c r="E246" s="148"/>
      <c r="F246" s="251"/>
    </row>
    <row r="247" spans="1:6" ht="12.75" hidden="1" customHeight="1" x14ac:dyDescent="0.15">
      <c r="A247" s="6">
        <v>8</v>
      </c>
      <c r="B247" s="310" t="s">
        <v>223</v>
      </c>
      <c r="C247" s="44" t="s">
        <v>735</v>
      </c>
      <c r="D247" s="141">
        <v>8.99</v>
      </c>
      <c r="E247" s="131">
        <v>8.99</v>
      </c>
      <c r="F247" s="251">
        <f>+(E247/D247)-1</f>
        <v>0</v>
      </c>
    </row>
    <row r="248" spans="1:6" ht="12.75" hidden="1" customHeight="1" x14ac:dyDescent="0.15">
      <c r="A248" s="6">
        <v>8</v>
      </c>
      <c r="B248" s="310" t="s">
        <v>199</v>
      </c>
      <c r="C248" s="46"/>
      <c r="D248" s="70"/>
      <c r="E248" s="313"/>
      <c r="F248" s="314"/>
    </row>
    <row r="249" spans="1:6" ht="12.75" customHeight="1" x14ac:dyDescent="0.15">
      <c r="A249" s="28">
        <v>9</v>
      </c>
      <c r="B249" s="308" t="s">
        <v>54</v>
      </c>
      <c r="C249" s="12" t="s">
        <v>36</v>
      </c>
      <c r="D249" s="13">
        <v>2.39</v>
      </c>
      <c r="E249" s="133">
        <v>2.4900000000000002</v>
      </c>
      <c r="F249" s="251">
        <f t="shared" ref="F249:F261" si="5">+(E249/D249)-1</f>
        <v>4.1841004184100417E-2</v>
      </c>
    </row>
    <row r="250" spans="1:6" ht="12.75" customHeight="1" x14ac:dyDescent="0.15">
      <c r="A250" s="28">
        <v>9</v>
      </c>
      <c r="B250" s="308" t="s">
        <v>54</v>
      </c>
      <c r="C250" s="21" t="s">
        <v>55</v>
      </c>
      <c r="D250" s="13">
        <v>2.39</v>
      </c>
      <c r="E250" s="133">
        <f>D250*1.04</f>
        <v>2.4856000000000003</v>
      </c>
      <c r="F250" s="251">
        <f t="shared" si="5"/>
        <v>4.0000000000000036E-2</v>
      </c>
    </row>
    <row r="251" spans="1:6" ht="12.75" customHeight="1" x14ac:dyDescent="0.15">
      <c r="A251" s="28">
        <v>9</v>
      </c>
      <c r="B251" s="308" t="s">
        <v>56</v>
      </c>
      <c r="C251" s="21"/>
      <c r="D251" s="13">
        <v>2.99</v>
      </c>
      <c r="E251" s="133">
        <v>3.29</v>
      </c>
      <c r="F251" s="251">
        <f t="shared" si="5"/>
        <v>0.10033444816053505</v>
      </c>
    </row>
    <row r="252" spans="1:6" ht="12.75" hidden="1" customHeight="1" x14ac:dyDescent="0.15">
      <c r="A252" s="28">
        <v>9</v>
      </c>
      <c r="B252" s="308" t="s">
        <v>58</v>
      </c>
      <c r="C252" s="21"/>
      <c r="D252" s="13">
        <v>2.25</v>
      </c>
      <c r="E252" s="133">
        <v>2.25</v>
      </c>
      <c r="F252" s="251">
        <f t="shared" si="5"/>
        <v>0</v>
      </c>
    </row>
    <row r="253" spans="1:6" ht="12.75" hidden="1" customHeight="1" x14ac:dyDescent="0.15">
      <c r="A253" s="28">
        <v>9</v>
      </c>
      <c r="B253" s="308" t="s">
        <v>59</v>
      </c>
      <c r="C253" s="21"/>
      <c r="D253" s="13">
        <v>1.49</v>
      </c>
      <c r="E253" s="133">
        <v>1.49</v>
      </c>
      <c r="F253" s="251">
        <f t="shared" si="5"/>
        <v>0</v>
      </c>
    </row>
    <row r="254" spans="1:6" ht="12.75" customHeight="1" x14ac:dyDescent="0.15">
      <c r="A254" s="6">
        <v>10</v>
      </c>
      <c r="B254" s="308" t="s">
        <v>68</v>
      </c>
      <c r="C254" s="21" t="s">
        <v>8</v>
      </c>
      <c r="D254" s="13">
        <v>17.989999999999998</v>
      </c>
      <c r="E254" s="133">
        <v>19.489999999999998</v>
      </c>
      <c r="F254" s="251">
        <f t="shared" si="5"/>
        <v>8.3379655364091088E-2</v>
      </c>
    </row>
    <row r="255" spans="1:6" ht="12.75" customHeight="1" x14ac:dyDescent="0.15">
      <c r="A255" s="6">
        <v>10</v>
      </c>
      <c r="B255" s="308" t="s">
        <v>68</v>
      </c>
      <c r="C255" s="21" t="s">
        <v>9</v>
      </c>
      <c r="D255" s="13">
        <v>17.989999999999998</v>
      </c>
      <c r="E255" s="133">
        <v>19.489999999999998</v>
      </c>
      <c r="F255" s="251">
        <f t="shared" si="5"/>
        <v>8.3379655364091088E-2</v>
      </c>
    </row>
    <row r="256" spans="1:6" ht="12.75" customHeight="1" x14ac:dyDescent="0.15">
      <c r="A256" s="6">
        <v>10</v>
      </c>
      <c r="B256" s="309" t="s">
        <v>68</v>
      </c>
      <c r="C256" s="21" t="s">
        <v>10</v>
      </c>
      <c r="D256" s="13">
        <v>17.989999999999998</v>
      </c>
      <c r="E256" s="133">
        <v>19.489999999999998</v>
      </c>
      <c r="F256" s="251">
        <f t="shared" si="5"/>
        <v>8.3379655364091088E-2</v>
      </c>
    </row>
    <row r="257" spans="1:6" ht="12.75" customHeight="1" x14ac:dyDescent="0.15">
      <c r="A257" s="6">
        <v>10</v>
      </c>
      <c r="B257" s="309" t="s">
        <v>68</v>
      </c>
      <c r="C257" s="21" t="s">
        <v>16</v>
      </c>
      <c r="D257" s="13">
        <v>17.989999999999998</v>
      </c>
      <c r="E257" s="133">
        <v>19.489999999999998</v>
      </c>
      <c r="F257" s="251">
        <f t="shared" si="5"/>
        <v>8.3379655364091088E-2</v>
      </c>
    </row>
    <row r="258" spans="1:6" ht="12.75" customHeight="1" x14ac:dyDescent="0.15">
      <c r="A258" s="6">
        <v>10</v>
      </c>
      <c r="B258" s="309" t="s">
        <v>75</v>
      </c>
      <c r="C258" s="21" t="s">
        <v>76</v>
      </c>
      <c r="D258" s="13">
        <v>29.99</v>
      </c>
      <c r="E258" s="133">
        <v>34.99</v>
      </c>
      <c r="F258" s="251">
        <f t="shared" si="5"/>
        <v>0.16672224074691577</v>
      </c>
    </row>
    <row r="259" spans="1:6" ht="12.75" customHeight="1" x14ac:dyDescent="0.15">
      <c r="A259" s="6">
        <v>10</v>
      </c>
      <c r="B259" s="309" t="s">
        <v>75</v>
      </c>
      <c r="C259" s="12" t="s">
        <v>77</v>
      </c>
      <c r="D259" s="13">
        <v>29.99</v>
      </c>
      <c r="E259" s="133">
        <v>34.99</v>
      </c>
      <c r="F259" s="251">
        <f t="shared" si="5"/>
        <v>0.16672224074691577</v>
      </c>
    </row>
    <row r="260" spans="1:6" ht="12.75" customHeight="1" x14ac:dyDescent="0.15">
      <c r="A260" s="6">
        <v>10</v>
      </c>
      <c r="B260" s="309" t="s">
        <v>78</v>
      </c>
      <c r="C260" s="21" t="s">
        <v>79</v>
      </c>
      <c r="D260" s="13">
        <v>12.5</v>
      </c>
      <c r="E260" s="133">
        <v>12.99</v>
      </c>
      <c r="F260" s="251">
        <f t="shared" si="5"/>
        <v>3.9200000000000124E-2</v>
      </c>
    </row>
    <row r="261" spans="1:6" ht="12.75" customHeight="1" x14ac:dyDescent="0.15">
      <c r="A261" s="6">
        <v>10</v>
      </c>
      <c r="B261" s="309" t="s">
        <v>78</v>
      </c>
      <c r="C261" s="21" t="s">
        <v>80</v>
      </c>
      <c r="D261" s="13">
        <v>17.989999999999998</v>
      </c>
      <c r="E261" s="133">
        <v>18.75</v>
      </c>
      <c r="F261" s="251">
        <f t="shared" si="5"/>
        <v>4.2245692051139594E-2</v>
      </c>
    </row>
    <row r="262" spans="1:6" ht="12.75" hidden="1" customHeight="1" x14ac:dyDescent="0.15">
      <c r="A262" s="6">
        <v>10</v>
      </c>
      <c r="B262" s="309" t="s">
        <v>81</v>
      </c>
      <c r="C262" s="21"/>
      <c r="D262" s="13">
        <v>24.99</v>
      </c>
      <c r="E262" s="322">
        <v>28.75</v>
      </c>
      <c r="F262" s="314"/>
    </row>
    <row r="263" spans="1:6" ht="12.75" hidden="1" customHeight="1" x14ac:dyDescent="0.15">
      <c r="A263" s="6">
        <v>10</v>
      </c>
      <c r="B263" s="309" t="s">
        <v>934</v>
      </c>
      <c r="C263" s="21" t="s">
        <v>935</v>
      </c>
      <c r="D263" s="13">
        <v>11.99</v>
      </c>
      <c r="E263" s="320"/>
      <c r="F263" s="321"/>
    </row>
    <row r="264" spans="1:6" ht="12.75" hidden="1" customHeight="1" x14ac:dyDescent="0.15">
      <c r="A264" s="6">
        <v>10</v>
      </c>
      <c r="B264" s="309" t="s">
        <v>936</v>
      </c>
      <c r="C264" s="21"/>
      <c r="D264" s="13">
        <v>9.99</v>
      </c>
      <c r="E264" s="320"/>
      <c r="F264" s="321"/>
    </row>
    <row r="265" spans="1:6" ht="12.75" hidden="1" customHeight="1" x14ac:dyDescent="0.15">
      <c r="A265" s="6">
        <v>10</v>
      </c>
      <c r="B265" s="309" t="s">
        <v>937</v>
      </c>
      <c r="C265" s="21"/>
      <c r="D265" s="13">
        <v>10.99</v>
      </c>
      <c r="E265" s="320"/>
      <c r="F265" s="321"/>
    </row>
    <row r="266" spans="1:6" ht="12.75" hidden="1" customHeight="1" x14ac:dyDescent="0.15">
      <c r="A266" s="6">
        <v>10</v>
      </c>
      <c r="B266" s="330" t="s">
        <v>938</v>
      </c>
      <c r="C266" s="21"/>
      <c r="D266" s="13">
        <v>12.99</v>
      </c>
      <c r="E266" s="320"/>
      <c r="F266" s="321"/>
    </row>
    <row r="267" spans="1:6" ht="12.75" hidden="1" customHeight="1" x14ac:dyDescent="0.15">
      <c r="A267" s="6">
        <v>10</v>
      </c>
      <c r="B267" s="330" t="s">
        <v>939</v>
      </c>
      <c r="C267" s="21" t="s">
        <v>130</v>
      </c>
      <c r="D267" s="13">
        <v>3.75</v>
      </c>
      <c r="E267" s="320"/>
      <c r="F267" s="321"/>
    </row>
    <row r="268" spans="1:6" ht="12.75" hidden="1" customHeight="1" x14ac:dyDescent="0.15">
      <c r="A268" s="6">
        <v>10</v>
      </c>
      <c r="B268" s="330"/>
      <c r="C268" s="21" t="s">
        <v>131</v>
      </c>
      <c r="D268" s="13">
        <v>4.375</v>
      </c>
      <c r="E268" s="320"/>
      <c r="F268" s="321"/>
    </row>
    <row r="269" spans="1:6" ht="12.75" hidden="1" customHeight="1" x14ac:dyDescent="0.15">
      <c r="A269" s="6">
        <v>10</v>
      </c>
      <c r="B269" s="309" t="s">
        <v>940</v>
      </c>
      <c r="C269" s="21"/>
      <c r="D269" s="13">
        <v>21.98</v>
      </c>
      <c r="E269" s="320"/>
      <c r="F269" s="321"/>
    </row>
    <row r="270" spans="1:6" ht="12.75" hidden="1" customHeight="1" x14ac:dyDescent="0.15">
      <c r="A270" s="28">
        <v>11</v>
      </c>
      <c r="B270" s="309" t="s">
        <v>49</v>
      </c>
      <c r="C270" s="21" t="s">
        <v>50</v>
      </c>
      <c r="D270" s="13">
        <v>1.69</v>
      </c>
      <c r="E270" s="133">
        <v>1.69</v>
      </c>
      <c r="F270" s="251">
        <f t="shared" ref="F270:F272" si="6">+(E270/D270)-1</f>
        <v>0</v>
      </c>
    </row>
    <row r="271" spans="1:6" ht="12.75" hidden="1" customHeight="1" x14ac:dyDescent="0.15">
      <c r="A271" s="28">
        <v>11</v>
      </c>
      <c r="B271" s="309" t="s">
        <v>49</v>
      </c>
      <c r="C271" s="12" t="s">
        <v>51</v>
      </c>
      <c r="D271" s="13">
        <v>2.99</v>
      </c>
      <c r="E271" s="133">
        <v>2.99</v>
      </c>
      <c r="F271" s="251">
        <f t="shared" si="6"/>
        <v>0</v>
      </c>
    </row>
    <row r="272" spans="1:6" ht="12.75" hidden="1" customHeight="1" x14ac:dyDescent="0.15">
      <c r="A272" s="28">
        <v>11</v>
      </c>
      <c r="B272" s="309" t="s">
        <v>52</v>
      </c>
      <c r="C272" s="21" t="s">
        <v>51</v>
      </c>
      <c r="D272" s="13">
        <v>2.89</v>
      </c>
      <c r="E272" s="133">
        <v>2.89</v>
      </c>
      <c r="F272" s="251">
        <f t="shared" si="6"/>
        <v>0</v>
      </c>
    </row>
    <row r="273" spans="1:6" ht="12.75" hidden="1" customHeight="1" x14ac:dyDescent="0.15">
      <c r="A273" s="6">
        <v>11</v>
      </c>
      <c r="B273" s="309" t="s">
        <v>197</v>
      </c>
      <c r="C273" s="21"/>
      <c r="D273" s="13">
        <v>8.5</v>
      </c>
      <c r="E273" s="320"/>
      <c r="F273" s="321"/>
    </row>
    <row r="274" spans="1:6" ht="12.75" customHeight="1" x14ac:dyDescent="0.15">
      <c r="A274" s="6">
        <v>12</v>
      </c>
      <c r="B274" s="311" t="s">
        <v>357</v>
      </c>
      <c r="C274" s="42" t="s">
        <v>740</v>
      </c>
      <c r="D274" s="70">
        <v>1.89</v>
      </c>
      <c r="E274" s="133">
        <v>2.25</v>
      </c>
      <c r="F274" s="251">
        <f t="shared" ref="F274:F300" si="7">+(E274/D274)-1</f>
        <v>0.19047619047619047</v>
      </c>
    </row>
    <row r="275" spans="1:6" ht="12.75" hidden="1" customHeight="1" x14ac:dyDescent="0.15">
      <c r="A275" s="6">
        <v>13</v>
      </c>
      <c r="B275" s="311" t="s">
        <v>357</v>
      </c>
      <c r="C275" s="42" t="s">
        <v>741</v>
      </c>
      <c r="D275" s="70">
        <v>4.99</v>
      </c>
      <c r="E275" s="133">
        <v>4.99</v>
      </c>
      <c r="F275" s="251">
        <f t="shared" si="7"/>
        <v>0</v>
      </c>
    </row>
    <row r="276" spans="1:6" ht="12.75" customHeight="1" x14ac:dyDescent="0.15">
      <c r="A276" s="6">
        <v>13</v>
      </c>
      <c r="B276" s="311" t="s">
        <v>357</v>
      </c>
      <c r="C276" s="42" t="s">
        <v>359</v>
      </c>
      <c r="D276" s="70">
        <v>0.6</v>
      </c>
      <c r="E276" s="252">
        <v>0.65</v>
      </c>
      <c r="F276" s="251">
        <f t="shared" si="7"/>
        <v>8.3333333333333481E-2</v>
      </c>
    </row>
    <row r="277" spans="1:6" ht="12.75" customHeight="1" x14ac:dyDescent="0.15">
      <c r="A277" s="6">
        <v>13</v>
      </c>
      <c r="B277" s="311" t="s">
        <v>357</v>
      </c>
      <c r="C277" s="42" t="s">
        <v>742</v>
      </c>
      <c r="D277" s="70">
        <v>0.6</v>
      </c>
      <c r="E277" s="252">
        <v>0.65</v>
      </c>
      <c r="F277" s="251">
        <f t="shared" si="7"/>
        <v>8.3333333333333481E-2</v>
      </c>
    </row>
    <row r="278" spans="1:6" ht="12.75" customHeight="1" x14ac:dyDescent="0.15">
      <c r="A278" s="6">
        <v>13</v>
      </c>
      <c r="B278" s="311" t="s">
        <v>361</v>
      </c>
      <c r="C278" s="46" t="s">
        <v>362</v>
      </c>
      <c r="D278" s="70">
        <v>2.79</v>
      </c>
      <c r="E278" s="252">
        <v>2.99</v>
      </c>
      <c r="F278" s="251">
        <f t="shared" si="7"/>
        <v>7.1684587813620082E-2</v>
      </c>
    </row>
    <row r="279" spans="1:6" ht="12.75" customHeight="1" x14ac:dyDescent="0.15">
      <c r="A279" s="6">
        <v>13</v>
      </c>
      <c r="B279" s="311" t="s">
        <v>361</v>
      </c>
      <c r="C279" s="42" t="s">
        <v>363</v>
      </c>
      <c r="D279" s="70">
        <v>2.99</v>
      </c>
      <c r="E279" s="252">
        <v>3.25</v>
      </c>
      <c r="F279" s="251">
        <f t="shared" si="7"/>
        <v>8.6956521739130377E-2</v>
      </c>
    </row>
    <row r="280" spans="1:6" ht="12.75" customHeight="1" x14ac:dyDescent="0.15">
      <c r="A280" s="6">
        <v>13</v>
      </c>
      <c r="B280" s="311" t="s">
        <v>361</v>
      </c>
      <c r="C280" s="42" t="s">
        <v>364</v>
      </c>
      <c r="D280" s="70">
        <v>2.79</v>
      </c>
      <c r="E280" s="252">
        <v>2.99</v>
      </c>
      <c r="F280" s="251">
        <f t="shared" si="7"/>
        <v>7.1684587813620082E-2</v>
      </c>
    </row>
    <row r="281" spans="1:6" ht="12.75" customHeight="1" x14ac:dyDescent="0.15">
      <c r="A281" s="6">
        <v>13</v>
      </c>
      <c r="B281" s="309" t="s">
        <v>743</v>
      </c>
      <c r="C281" s="42" t="s">
        <v>159</v>
      </c>
      <c r="D281" s="70">
        <v>3.49</v>
      </c>
      <c r="E281" s="252">
        <v>3.99</v>
      </c>
      <c r="F281" s="251">
        <f t="shared" si="7"/>
        <v>0.14326647564469908</v>
      </c>
    </row>
    <row r="282" spans="1:6" ht="12.75" customHeight="1" x14ac:dyDescent="0.15">
      <c r="A282" s="6">
        <v>13</v>
      </c>
      <c r="B282" s="309" t="s">
        <v>743</v>
      </c>
      <c r="C282" s="42" t="s">
        <v>744</v>
      </c>
      <c r="D282" s="70">
        <v>3.49</v>
      </c>
      <c r="E282" s="252">
        <v>3.99</v>
      </c>
      <c r="F282" s="251">
        <f t="shared" si="7"/>
        <v>0.14326647564469908</v>
      </c>
    </row>
    <row r="283" spans="1:6" ht="12.75" hidden="1" customHeight="1" x14ac:dyDescent="0.15">
      <c r="A283" s="6">
        <v>13</v>
      </c>
      <c r="B283" s="309" t="s">
        <v>365</v>
      </c>
      <c r="C283" s="42" t="s">
        <v>40</v>
      </c>
      <c r="D283" s="70">
        <v>4.99</v>
      </c>
      <c r="E283" s="252">
        <v>4.99</v>
      </c>
      <c r="F283" s="251">
        <f t="shared" si="7"/>
        <v>0</v>
      </c>
    </row>
    <row r="284" spans="1:6" ht="12.75" hidden="1" customHeight="1" x14ac:dyDescent="0.15">
      <c r="A284" s="6">
        <v>13</v>
      </c>
      <c r="B284" s="309" t="s">
        <v>365</v>
      </c>
      <c r="C284" s="42" t="s">
        <v>366</v>
      </c>
      <c r="D284" s="70">
        <v>29.99</v>
      </c>
      <c r="E284" s="252">
        <v>29.99</v>
      </c>
      <c r="F284" s="251">
        <f t="shared" si="7"/>
        <v>0</v>
      </c>
    </row>
    <row r="285" spans="1:6" ht="12.75" hidden="1" customHeight="1" x14ac:dyDescent="0.15">
      <c r="A285" s="6">
        <v>13</v>
      </c>
      <c r="B285" s="311" t="s">
        <v>745</v>
      </c>
      <c r="C285" s="42" t="s">
        <v>368</v>
      </c>
      <c r="D285" s="70">
        <v>1.99</v>
      </c>
      <c r="E285" s="142">
        <v>1.99</v>
      </c>
      <c r="F285" s="251">
        <f t="shared" si="7"/>
        <v>0</v>
      </c>
    </row>
    <row r="286" spans="1:6" ht="12.75" hidden="1" customHeight="1" x14ac:dyDescent="0.15">
      <c r="A286" s="6">
        <v>13</v>
      </c>
      <c r="B286" s="311" t="s">
        <v>745</v>
      </c>
      <c r="C286" s="42" t="s">
        <v>746</v>
      </c>
      <c r="D286" s="70">
        <v>1.99</v>
      </c>
      <c r="E286" s="142">
        <v>1.99</v>
      </c>
      <c r="F286" s="251">
        <f t="shared" si="7"/>
        <v>0</v>
      </c>
    </row>
    <row r="287" spans="1:6" ht="12.75" hidden="1" customHeight="1" x14ac:dyDescent="0.15">
      <c r="A287" s="6">
        <v>13</v>
      </c>
      <c r="B287" s="311" t="s">
        <v>745</v>
      </c>
      <c r="C287" s="42" t="s">
        <v>747</v>
      </c>
      <c r="D287" s="70">
        <v>1.99</v>
      </c>
      <c r="E287" s="142">
        <v>1.99</v>
      </c>
      <c r="F287" s="251">
        <f t="shared" si="7"/>
        <v>0</v>
      </c>
    </row>
    <row r="288" spans="1:6" ht="12.75" hidden="1" customHeight="1" x14ac:dyDescent="0.15">
      <c r="A288" s="6">
        <v>13</v>
      </c>
      <c r="B288" s="311" t="s">
        <v>745</v>
      </c>
      <c r="C288" s="304" t="s">
        <v>369</v>
      </c>
      <c r="D288" s="70">
        <v>4.99</v>
      </c>
      <c r="E288" s="142">
        <v>4.99</v>
      </c>
      <c r="F288" s="251">
        <f t="shared" si="7"/>
        <v>0</v>
      </c>
    </row>
    <row r="289" spans="1:6" ht="12.75" hidden="1" customHeight="1" x14ac:dyDescent="0.15">
      <c r="A289" s="6">
        <v>13</v>
      </c>
      <c r="B289" s="311" t="s">
        <v>745</v>
      </c>
      <c r="C289" s="42" t="s">
        <v>748</v>
      </c>
      <c r="D289" s="70">
        <v>1.99</v>
      </c>
      <c r="E289" s="142">
        <v>1.99</v>
      </c>
      <c r="F289" s="251">
        <f t="shared" si="7"/>
        <v>0</v>
      </c>
    </row>
    <row r="290" spans="1:6" ht="12.75" hidden="1" customHeight="1" x14ac:dyDescent="0.15">
      <c r="A290" s="6">
        <v>13</v>
      </c>
      <c r="B290" s="311" t="s">
        <v>745</v>
      </c>
      <c r="C290" s="42" t="s">
        <v>749</v>
      </c>
      <c r="D290" s="70">
        <v>3.49</v>
      </c>
      <c r="E290" s="142">
        <v>3.49</v>
      </c>
      <c r="F290" s="251">
        <f t="shared" si="7"/>
        <v>0</v>
      </c>
    </row>
    <row r="291" spans="1:6" ht="12.75" hidden="1" customHeight="1" x14ac:dyDescent="0.15">
      <c r="A291" s="6">
        <v>13</v>
      </c>
      <c r="B291" s="311" t="s">
        <v>745</v>
      </c>
      <c r="C291" s="42" t="s">
        <v>370</v>
      </c>
      <c r="D291" s="70">
        <v>2.4900000000000002</v>
      </c>
      <c r="E291" s="142">
        <v>2.4900000000000002</v>
      </c>
      <c r="F291" s="251">
        <f t="shared" si="7"/>
        <v>0</v>
      </c>
    </row>
    <row r="292" spans="1:6" ht="12.75" hidden="1" customHeight="1" x14ac:dyDescent="0.15">
      <c r="A292" s="6">
        <v>13</v>
      </c>
      <c r="B292" s="311" t="s">
        <v>745</v>
      </c>
      <c r="C292" s="42" t="s">
        <v>371</v>
      </c>
      <c r="D292" s="70">
        <v>4.99</v>
      </c>
      <c r="E292" s="142">
        <v>4.99</v>
      </c>
      <c r="F292" s="251">
        <f t="shared" si="7"/>
        <v>0</v>
      </c>
    </row>
    <row r="293" spans="1:6" ht="12.75" customHeight="1" x14ac:dyDescent="0.15">
      <c r="A293" s="6">
        <v>13</v>
      </c>
      <c r="B293" s="311" t="s">
        <v>381</v>
      </c>
      <c r="C293" s="42" t="s">
        <v>382</v>
      </c>
      <c r="D293" s="70">
        <v>3.49</v>
      </c>
      <c r="E293" s="252">
        <v>3.79</v>
      </c>
      <c r="F293" s="251">
        <f t="shared" si="7"/>
        <v>8.5959885386819535E-2</v>
      </c>
    </row>
    <row r="294" spans="1:6" ht="12.75" hidden="1" customHeight="1" x14ac:dyDescent="0.15">
      <c r="A294" s="6">
        <v>13</v>
      </c>
      <c r="B294" s="311" t="s">
        <v>381</v>
      </c>
      <c r="C294" s="42" t="s">
        <v>383</v>
      </c>
      <c r="D294" s="70">
        <v>4.49</v>
      </c>
      <c r="E294" s="252">
        <v>4.49</v>
      </c>
      <c r="F294" s="251">
        <f t="shared" si="7"/>
        <v>0</v>
      </c>
    </row>
    <row r="295" spans="1:6" ht="12.75" hidden="1" customHeight="1" x14ac:dyDescent="0.15">
      <c r="A295" s="6">
        <v>13</v>
      </c>
      <c r="B295" s="311" t="s">
        <v>381</v>
      </c>
      <c r="C295" s="42" t="s">
        <v>384</v>
      </c>
      <c r="D295" s="70">
        <v>5.99</v>
      </c>
      <c r="E295" s="252">
        <v>5.99</v>
      </c>
      <c r="F295" s="251">
        <f t="shared" si="7"/>
        <v>0</v>
      </c>
    </row>
    <row r="296" spans="1:6" ht="12.75" hidden="1" customHeight="1" x14ac:dyDescent="0.15">
      <c r="A296" s="6">
        <v>13</v>
      </c>
      <c r="B296" s="311" t="s">
        <v>381</v>
      </c>
      <c r="C296" s="42" t="s">
        <v>385</v>
      </c>
      <c r="D296" s="70">
        <v>6.99</v>
      </c>
      <c r="E296" s="252">
        <v>6.99</v>
      </c>
      <c r="F296" s="251">
        <f t="shared" si="7"/>
        <v>0</v>
      </c>
    </row>
    <row r="297" spans="1:6" ht="12.75" customHeight="1" x14ac:dyDescent="0.15">
      <c r="A297" s="6">
        <v>13</v>
      </c>
      <c r="B297" s="311" t="s">
        <v>381</v>
      </c>
      <c r="C297" s="42" t="s">
        <v>386</v>
      </c>
      <c r="D297" s="70">
        <v>3.49</v>
      </c>
      <c r="E297" s="252">
        <v>3.79</v>
      </c>
      <c r="F297" s="251">
        <f t="shared" si="7"/>
        <v>8.5959885386819535E-2</v>
      </c>
    </row>
    <row r="298" spans="1:6" ht="12.75" customHeight="1" x14ac:dyDescent="0.15">
      <c r="A298" s="6">
        <v>13</v>
      </c>
      <c r="B298" s="311" t="s">
        <v>381</v>
      </c>
      <c r="C298" s="42" t="s">
        <v>387</v>
      </c>
      <c r="D298" s="70">
        <v>3.49</v>
      </c>
      <c r="E298" s="252">
        <v>3.79</v>
      </c>
      <c r="F298" s="251">
        <f t="shared" si="7"/>
        <v>8.5959885386819535E-2</v>
      </c>
    </row>
    <row r="299" spans="1:6" ht="12.75" hidden="1" customHeight="1" x14ac:dyDescent="0.15">
      <c r="A299" s="6">
        <v>13</v>
      </c>
      <c r="B299" s="311" t="s">
        <v>381</v>
      </c>
      <c r="C299" s="42" t="s">
        <v>941</v>
      </c>
      <c r="D299" s="70">
        <v>4.49</v>
      </c>
      <c r="E299" s="252">
        <v>4.49</v>
      </c>
      <c r="F299" s="251">
        <f t="shared" si="7"/>
        <v>0</v>
      </c>
    </row>
    <row r="300" spans="1:6" ht="12.75" customHeight="1" x14ac:dyDescent="0.15">
      <c r="A300" s="6">
        <v>14</v>
      </c>
      <c r="B300" s="309" t="s">
        <v>722</v>
      </c>
      <c r="C300" s="12" t="s">
        <v>723</v>
      </c>
      <c r="D300" s="13">
        <v>2.99</v>
      </c>
      <c r="E300" s="133">
        <v>3.49</v>
      </c>
      <c r="F300" s="251">
        <f t="shared" si="7"/>
        <v>0.16722408026755842</v>
      </c>
    </row>
    <row r="301" spans="1:6" ht="12.75" hidden="1" customHeight="1" x14ac:dyDescent="0.15">
      <c r="A301" s="6">
        <v>14</v>
      </c>
      <c r="B301" s="309" t="s">
        <v>722</v>
      </c>
      <c r="C301" s="21" t="s">
        <v>724</v>
      </c>
      <c r="D301" s="13"/>
      <c r="E301" s="133"/>
      <c r="F301" s="251"/>
    </row>
    <row r="302" spans="1:6" ht="12.75" customHeight="1" x14ac:dyDescent="0.15">
      <c r="A302" s="6">
        <v>14</v>
      </c>
      <c r="B302" s="309" t="s">
        <v>725</v>
      </c>
      <c r="C302" s="12" t="s">
        <v>102</v>
      </c>
      <c r="D302" s="13">
        <v>2.99</v>
      </c>
      <c r="E302" s="133">
        <v>3.49</v>
      </c>
      <c r="F302" s="251">
        <f>+(E302/D302)-1</f>
        <v>0.16722408026755842</v>
      </c>
    </row>
    <row r="303" spans="1:6" ht="12.75" hidden="1" customHeight="1" x14ac:dyDescent="0.15">
      <c r="A303" s="6">
        <v>14</v>
      </c>
      <c r="B303" s="309" t="s">
        <v>725</v>
      </c>
      <c r="C303" s="12" t="s">
        <v>103</v>
      </c>
      <c r="D303" s="13"/>
      <c r="E303" s="133"/>
      <c r="F303" s="251"/>
    </row>
    <row r="304" spans="1:6" ht="12.75" customHeight="1" x14ac:dyDescent="0.15">
      <c r="A304" s="28">
        <v>14</v>
      </c>
      <c r="B304" s="311" t="s">
        <v>389</v>
      </c>
      <c r="C304" s="42" t="s">
        <v>390</v>
      </c>
      <c r="D304" s="70">
        <v>2.4900000000000002</v>
      </c>
      <c r="E304" s="252">
        <v>2.69</v>
      </c>
      <c r="F304" s="251">
        <f t="shared" ref="F304:F313" si="8">+(E304/D304)-1</f>
        <v>8.0321285140562138E-2</v>
      </c>
    </row>
    <row r="305" spans="1:7" ht="12.75" customHeight="1" x14ac:dyDescent="0.15">
      <c r="A305" s="28">
        <v>14</v>
      </c>
      <c r="B305" s="311" t="s">
        <v>389</v>
      </c>
      <c r="C305" s="42" t="s">
        <v>391</v>
      </c>
      <c r="D305" s="70">
        <v>9.99</v>
      </c>
      <c r="E305" s="252">
        <v>12.99</v>
      </c>
      <c r="F305" s="251">
        <f t="shared" si="8"/>
        <v>0.30030030030030019</v>
      </c>
    </row>
    <row r="306" spans="1:7" ht="12.75" customHeight="1" x14ac:dyDescent="0.15">
      <c r="A306" s="28">
        <v>14</v>
      </c>
      <c r="B306" s="311" t="s">
        <v>392</v>
      </c>
      <c r="C306" s="46" t="s">
        <v>129</v>
      </c>
      <c r="D306" s="70">
        <v>1.49</v>
      </c>
      <c r="E306" s="252">
        <v>1.65</v>
      </c>
      <c r="F306" s="251">
        <f t="shared" si="8"/>
        <v>0.10738255033557031</v>
      </c>
    </row>
    <row r="307" spans="1:7" ht="12.75" customHeight="1" x14ac:dyDescent="0.15">
      <c r="A307" s="28">
        <v>14</v>
      </c>
      <c r="B307" s="311" t="s">
        <v>392</v>
      </c>
      <c r="C307" s="46" t="s">
        <v>131</v>
      </c>
      <c r="D307" s="70">
        <v>3.99</v>
      </c>
      <c r="E307" s="252">
        <v>4.3899999999999997</v>
      </c>
      <c r="F307" s="251">
        <f t="shared" si="8"/>
        <v>0.10025062656641581</v>
      </c>
    </row>
    <row r="308" spans="1:7" ht="12.75" customHeight="1" x14ac:dyDescent="0.15">
      <c r="A308" s="28">
        <v>14</v>
      </c>
      <c r="B308" s="311" t="s">
        <v>392</v>
      </c>
      <c r="C308" s="59" t="s">
        <v>393</v>
      </c>
      <c r="D308" s="144">
        <v>7.99</v>
      </c>
      <c r="E308" s="254">
        <v>8.49</v>
      </c>
      <c r="F308" s="251">
        <f t="shared" si="8"/>
        <v>6.2578222778473025E-2</v>
      </c>
      <c r="G308" s="331">
        <f>AVERAGE(F7:F308)</f>
        <v>5.4656886438487019E-2</v>
      </c>
    </row>
    <row r="309" spans="1:7" ht="23.25" customHeight="1" x14ac:dyDescent="0.15">
      <c r="A309" s="28">
        <v>14</v>
      </c>
      <c r="B309" s="41" t="s">
        <v>394</v>
      </c>
      <c r="C309" s="44" t="s">
        <v>129</v>
      </c>
      <c r="D309" s="141">
        <v>3.99</v>
      </c>
      <c r="E309" s="315">
        <v>3.99</v>
      </c>
      <c r="F309" s="332">
        <f t="shared" si="8"/>
        <v>0</v>
      </c>
    </row>
    <row r="310" spans="1:7" ht="12.75" customHeight="1" x14ac:dyDescent="0.15">
      <c r="A310" s="28">
        <v>14</v>
      </c>
      <c r="B310" s="43" t="s">
        <v>394</v>
      </c>
      <c r="C310" s="46" t="s">
        <v>131</v>
      </c>
      <c r="D310" s="70">
        <v>4.99</v>
      </c>
      <c r="E310" s="252">
        <v>4.99</v>
      </c>
      <c r="F310" s="332">
        <f t="shared" si="8"/>
        <v>0</v>
      </c>
    </row>
    <row r="311" spans="1:7" ht="12.75" customHeight="1" x14ac:dyDescent="0.15">
      <c r="A311" s="28">
        <v>14</v>
      </c>
      <c r="B311" s="43" t="s">
        <v>395</v>
      </c>
      <c r="C311" s="46"/>
      <c r="D311" s="70">
        <v>3.49</v>
      </c>
      <c r="E311" s="252">
        <v>3.49</v>
      </c>
      <c r="F311" s="332">
        <f t="shared" si="8"/>
        <v>0</v>
      </c>
    </row>
    <row r="312" spans="1:7" ht="12.75" customHeight="1" x14ac:dyDescent="0.15">
      <c r="A312" s="28">
        <v>14</v>
      </c>
      <c r="B312" s="43" t="s">
        <v>395</v>
      </c>
      <c r="C312" s="42" t="s">
        <v>396</v>
      </c>
      <c r="D312" s="70">
        <v>2.25</v>
      </c>
      <c r="E312" s="252">
        <v>2.4900000000000002</v>
      </c>
      <c r="F312" s="332">
        <f t="shared" si="8"/>
        <v>0.10666666666666669</v>
      </c>
    </row>
    <row r="313" spans="1:7" ht="12.75" customHeight="1" x14ac:dyDescent="0.15">
      <c r="A313" s="28">
        <v>14</v>
      </c>
      <c r="B313" s="43" t="s">
        <v>395</v>
      </c>
      <c r="C313" s="42" t="s">
        <v>397</v>
      </c>
      <c r="D313" s="70">
        <v>2.4900000000000002</v>
      </c>
      <c r="E313" s="252">
        <v>2.99</v>
      </c>
      <c r="F313" s="332">
        <f t="shared" si="8"/>
        <v>0.20080321285140568</v>
      </c>
    </row>
    <row r="314" spans="1:7" ht="12.75" customHeight="1" x14ac:dyDescent="0.15">
      <c r="A314" s="28">
        <v>14</v>
      </c>
      <c r="B314" s="256" t="s">
        <v>395</v>
      </c>
      <c r="C314" s="78" t="s">
        <v>398</v>
      </c>
      <c r="D314" s="144">
        <v>3.99</v>
      </c>
      <c r="E314" s="333">
        <v>4.29</v>
      </c>
      <c r="F314" s="334"/>
    </row>
    <row r="315" spans="1:7" ht="12.75" customHeight="1" x14ac:dyDescent="0.15">
      <c r="A315" s="28">
        <v>14</v>
      </c>
      <c r="B315" s="41" t="s">
        <v>395</v>
      </c>
      <c r="C315" s="61" t="s">
        <v>399</v>
      </c>
      <c r="D315" s="141">
        <v>1.99</v>
      </c>
      <c r="E315" s="315">
        <v>1.99</v>
      </c>
      <c r="F315" s="332">
        <f t="shared" ref="F315:F316" si="9">+(E315/D315)-1</f>
        <v>0</v>
      </c>
    </row>
    <row r="316" spans="1:7" ht="12.75" customHeight="1" x14ac:dyDescent="0.15">
      <c r="A316" s="28">
        <v>14</v>
      </c>
      <c r="B316" s="43" t="s">
        <v>395</v>
      </c>
      <c r="C316" s="42" t="s">
        <v>400</v>
      </c>
      <c r="D316" s="70">
        <v>1.99</v>
      </c>
      <c r="E316" s="252">
        <v>1.99</v>
      </c>
      <c r="F316" s="332">
        <f t="shared" si="9"/>
        <v>0</v>
      </c>
    </row>
    <row r="317" spans="1:7" ht="12.75" customHeight="1" x14ac:dyDescent="0.15">
      <c r="A317" s="28">
        <v>14</v>
      </c>
      <c r="B317" s="43" t="s">
        <v>395</v>
      </c>
      <c r="C317" s="76" t="s">
        <v>401</v>
      </c>
      <c r="D317" s="151">
        <v>1.99</v>
      </c>
      <c r="E317" s="265"/>
      <c r="F317" s="332"/>
    </row>
    <row r="318" spans="1:7" ht="13.5" customHeight="1" x14ac:dyDescent="0.15">
      <c r="A318" s="28">
        <v>14</v>
      </c>
      <c r="B318" s="335" t="s">
        <v>942</v>
      </c>
      <c r="C318" s="12"/>
      <c r="D318" s="95">
        <v>31.99</v>
      </c>
      <c r="E318" s="320"/>
      <c r="F318" s="336"/>
    </row>
    <row r="319" spans="1:7" ht="12.75" customHeight="1" x14ac:dyDescent="0.15">
      <c r="A319" s="28">
        <v>14</v>
      </c>
      <c r="B319" s="335" t="s">
        <v>943</v>
      </c>
      <c r="C319" s="12"/>
      <c r="D319" s="95">
        <v>26.99</v>
      </c>
      <c r="E319" s="320"/>
      <c r="F319" s="336"/>
    </row>
    <row r="320" spans="1:7" ht="12.75" customHeight="1" x14ac:dyDescent="0.15">
      <c r="A320" s="28">
        <v>14</v>
      </c>
      <c r="B320" s="335" t="s">
        <v>944</v>
      </c>
      <c r="C320" s="12"/>
      <c r="D320" s="95">
        <v>47.99</v>
      </c>
      <c r="E320" s="320"/>
      <c r="F320" s="336"/>
    </row>
    <row r="321" spans="1:6" ht="12.75" customHeight="1" x14ac:dyDescent="0.15">
      <c r="A321" s="28">
        <v>14</v>
      </c>
      <c r="B321" s="335" t="s">
        <v>945</v>
      </c>
      <c r="C321" s="12" t="s">
        <v>686</v>
      </c>
      <c r="D321" s="95">
        <v>35.99</v>
      </c>
      <c r="E321" s="320"/>
      <c r="F321" s="336"/>
    </row>
    <row r="322" spans="1:6" ht="12.75" customHeight="1" x14ac:dyDescent="0.15">
      <c r="A322" s="28">
        <v>14</v>
      </c>
      <c r="B322" s="335" t="s">
        <v>945</v>
      </c>
      <c r="C322" s="12" t="s">
        <v>687</v>
      </c>
      <c r="D322" s="95">
        <f>D321+21.99</f>
        <v>57.980000000000004</v>
      </c>
      <c r="E322" s="320"/>
      <c r="F322" s="336"/>
    </row>
    <row r="323" spans="1:6" ht="13.5" customHeight="1" x14ac:dyDescent="0.15">
      <c r="A323" s="28">
        <v>14</v>
      </c>
      <c r="B323" s="335" t="s">
        <v>945</v>
      </c>
      <c r="C323" s="12" t="s">
        <v>689</v>
      </c>
      <c r="D323" s="95">
        <f>D321+24.99</f>
        <v>60.980000000000004</v>
      </c>
      <c r="E323" s="320"/>
      <c r="F323" s="336"/>
    </row>
    <row r="324" spans="1:6" ht="12.75" customHeight="1" x14ac:dyDescent="0.15">
      <c r="A324" s="28">
        <v>14</v>
      </c>
      <c r="B324" s="335" t="s">
        <v>945</v>
      </c>
      <c r="C324" s="12" t="s">
        <v>691</v>
      </c>
      <c r="D324" s="95">
        <f>D321+27.99</f>
        <v>63.980000000000004</v>
      </c>
      <c r="E324" s="320"/>
      <c r="F324" s="336"/>
    </row>
    <row r="325" spans="1:6" ht="12.75" customHeight="1" x14ac:dyDescent="0.15">
      <c r="A325" s="28">
        <v>14</v>
      </c>
      <c r="B325" s="335" t="s">
        <v>945</v>
      </c>
      <c r="C325" s="12" t="s">
        <v>693</v>
      </c>
      <c r="D325" s="95">
        <f>D321+24.99</f>
        <v>60.980000000000004</v>
      </c>
      <c r="E325" s="320"/>
      <c r="F325" s="336"/>
    </row>
    <row r="326" spans="1:6" ht="12.75" customHeight="1" x14ac:dyDescent="0.15">
      <c r="A326" s="28">
        <v>14</v>
      </c>
      <c r="B326" s="335" t="s">
        <v>946</v>
      </c>
      <c r="C326" s="12" t="s">
        <v>686</v>
      </c>
      <c r="D326" s="95">
        <v>29.99</v>
      </c>
      <c r="E326" s="320"/>
      <c r="F326" s="336"/>
    </row>
    <row r="327" spans="1:6" ht="12.75" customHeight="1" x14ac:dyDescent="0.15">
      <c r="A327" s="28">
        <v>14</v>
      </c>
      <c r="B327" s="335" t="s">
        <v>946</v>
      </c>
      <c r="C327" s="12" t="s">
        <v>687</v>
      </c>
      <c r="D327" s="95">
        <f>D326+21.99</f>
        <v>51.98</v>
      </c>
      <c r="E327" s="320"/>
      <c r="F327" s="336"/>
    </row>
    <row r="328" spans="1:6" ht="13.5" customHeight="1" x14ac:dyDescent="0.15">
      <c r="A328" s="28">
        <v>14</v>
      </c>
      <c r="B328" s="335" t="s">
        <v>946</v>
      </c>
      <c r="C328" s="12" t="s">
        <v>689</v>
      </c>
      <c r="D328" s="95">
        <f>D326+24.99</f>
        <v>54.98</v>
      </c>
      <c r="E328" s="320"/>
      <c r="F328" s="336"/>
    </row>
    <row r="329" spans="1:6" ht="12.75" customHeight="1" x14ac:dyDescent="0.15">
      <c r="A329" s="28">
        <v>14</v>
      </c>
      <c r="B329" s="335" t="s">
        <v>946</v>
      </c>
      <c r="C329" s="12" t="s">
        <v>691</v>
      </c>
      <c r="D329" s="95">
        <f>D326+27.99</f>
        <v>57.98</v>
      </c>
      <c r="E329" s="320"/>
      <c r="F329" s="336"/>
    </row>
    <row r="330" spans="1:6" ht="12.75" customHeight="1" x14ac:dyDescent="0.15">
      <c r="A330" s="28">
        <v>14</v>
      </c>
      <c r="B330" s="335" t="s">
        <v>946</v>
      </c>
      <c r="C330" s="12" t="s">
        <v>693</v>
      </c>
      <c r="D330" s="95">
        <f>D326+24.99</f>
        <v>54.98</v>
      </c>
      <c r="E330" s="320"/>
      <c r="F330" s="336"/>
    </row>
    <row r="331" spans="1:6" ht="12.75" customHeight="1" x14ac:dyDescent="0.15">
      <c r="A331" s="28">
        <v>14</v>
      </c>
      <c r="B331" s="335" t="s">
        <v>947</v>
      </c>
      <c r="C331" s="12" t="s">
        <v>686</v>
      </c>
      <c r="D331" s="95">
        <v>59.99</v>
      </c>
      <c r="E331" s="320"/>
      <c r="F331" s="336"/>
    </row>
    <row r="332" spans="1:6" ht="12.75" customHeight="1" x14ac:dyDescent="0.15">
      <c r="A332" s="28">
        <v>14</v>
      </c>
      <c r="B332" s="335" t="s">
        <v>948</v>
      </c>
      <c r="C332" s="19" t="s">
        <v>687</v>
      </c>
      <c r="D332" s="129">
        <f>D331+21.99</f>
        <v>81.98</v>
      </c>
      <c r="E332" s="337"/>
      <c r="F332" s="336"/>
    </row>
    <row r="333" spans="1:6" ht="12.75" customHeight="1" x14ac:dyDescent="0.15">
      <c r="A333" s="28">
        <v>14</v>
      </c>
      <c r="B333" s="338" t="s">
        <v>949</v>
      </c>
      <c r="C333" s="339" t="s">
        <v>689</v>
      </c>
      <c r="D333" s="340">
        <f>D331+24.99</f>
        <v>84.98</v>
      </c>
      <c r="E333" s="341"/>
      <c r="F333" s="336"/>
    </row>
    <row r="334" spans="1:6" ht="12.75" customHeight="1" x14ac:dyDescent="0.15">
      <c r="A334" s="28">
        <v>14</v>
      </c>
      <c r="B334" s="342" t="s">
        <v>950</v>
      </c>
      <c r="C334" s="339" t="s">
        <v>691</v>
      </c>
      <c r="D334" s="340">
        <f>D331+27.99</f>
        <v>87.98</v>
      </c>
      <c r="E334" s="341"/>
      <c r="F334" s="336"/>
    </row>
    <row r="335" spans="1:6" ht="12.75" customHeight="1" x14ac:dyDescent="0.15">
      <c r="A335" s="343">
        <v>14</v>
      </c>
      <c r="B335" s="139" t="s">
        <v>951</v>
      </c>
      <c r="C335" s="12" t="s">
        <v>693</v>
      </c>
      <c r="D335" s="95">
        <f>D331+24.99</f>
        <v>84.98</v>
      </c>
      <c r="E335" s="320"/>
      <c r="F335" s="336"/>
    </row>
    <row r="336" spans="1:6" ht="12.75" customHeight="1" x14ac:dyDescent="0.15">
      <c r="A336" s="46">
        <v>15</v>
      </c>
      <c r="B336" s="46" t="s">
        <v>952</v>
      </c>
      <c r="C336" s="46"/>
      <c r="D336" s="70">
        <v>9.99</v>
      </c>
      <c r="E336" s="320"/>
      <c r="F336" s="344"/>
    </row>
    <row r="337" spans="5:5" ht="12.75" customHeight="1" x14ac:dyDescent="0.15">
      <c r="E337" s="292"/>
    </row>
    <row r="338" spans="5:5" ht="12.75" customHeight="1" x14ac:dyDescent="0.15">
      <c r="E338" s="292"/>
    </row>
    <row r="339" spans="5:5" ht="12.75" customHeight="1" x14ac:dyDescent="0.15">
      <c r="E339" s="292"/>
    </row>
    <row r="340" spans="5:5" ht="12.75" customHeight="1" x14ac:dyDescent="0.15">
      <c r="E340" s="292"/>
    </row>
    <row r="341" spans="5:5" ht="12.75" customHeight="1" x14ac:dyDescent="0.15">
      <c r="E341" s="292"/>
    </row>
    <row r="342" spans="5:5" ht="12.75" customHeight="1" x14ac:dyDescent="0.15">
      <c r="E342" s="292"/>
    </row>
    <row r="343" spans="5:5" ht="12.75" customHeight="1" x14ac:dyDescent="0.15">
      <c r="E343" s="292"/>
    </row>
    <row r="344" spans="5:5" ht="12.75" customHeight="1" x14ac:dyDescent="0.15">
      <c r="E344" s="292"/>
    </row>
    <row r="345" spans="5:5" ht="12.75" customHeight="1" x14ac:dyDescent="0.15">
      <c r="E345" s="292"/>
    </row>
    <row r="346" spans="5:5" ht="12.75" customHeight="1" x14ac:dyDescent="0.15">
      <c r="E346" s="292"/>
    </row>
    <row r="347" spans="5:5" ht="12.75" customHeight="1" x14ac:dyDescent="0.15">
      <c r="E347" s="292"/>
    </row>
    <row r="348" spans="5:5" ht="12.75" customHeight="1" x14ac:dyDescent="0.15">
      <c r="E348" s="292"/>
    </row>
    <row r="349" spans="5:5" ht="12.75" customHeight="1" x14ac:dyDescent="0.15">
      <c r="E349" s="292"/>
    </row>
    <row r="350" spans="5:5" ht="12.75" customHeight="1" x14ac:dyDescent="0.15">
      <c r="E350" s="292"/>
    </row>
    <row r="351" spans="5:5" ht="12.75" customHeight="1" x14ac:dyDescent="0.15">
      <c r="E351" s="292"/>
    </row>
    <row r="352" spans="5:5" ht="12.75" customHeight="1" x14ac:dyDescent="0.15">
      <c r="E352" s="292"/>
    </row>
    <row r="353" spans="5:5" ht="12.75" customHeight="1" x14ac:dyDescent="0.15">
      <c r="E353" s="292"/>
    </row>
    <row r="354" spans="5:5" ht="12.75" customHeight="1" x14ac:dyDescent="0.15">
      <c r="E354" s="292"/>
    </row>
    <row r="355" spans="5:5" ht="12.75" customHeight="1" x14ac:dyDescent="0.15">
      <c r="E355" s="292"/>
    </row>
    <row r="356" spans="5:5" ht="12.75" customHeight="1" x14ac:dyDescent="0.15">
      <c r="E356" s="292"/>
    </row>
    <row r="357" spans="5:5" ht="12.75" customHeight="1" x14ac:dyDescent="0.15">
      <c r="E357" s="292"/>
    </row>
    <row r="358" spans="5:5" ht="12.75" customHeight="1" x14ac:dyDescent="0.15">
      <c r="E358" s="292"/>
    </row>
    <row r="359" spans="5:5" ht="12.75" customHeight="1" x14ac:dyDescent="0.15">
      <c r="E359" s="292"/>
    </row>
    <row r="360" spans="5:5" ht="12.75" customHeight="1" x14ac:dyDescent="0.15">
      <c r="E360" s="292"/>
    </row>
    <row r="361" spans="5:5" ht="12.75" customHeight="1" x14ac:dyDescent="0.15">
      <c r="E361" s="292"/>
    </row>
    <row r="362" spans="5:5" ht="12.75" customHeight="1" x14ac:dyDescent="0.15">
      <c r="E362" s="292"/>
    </row>
    <row r="363" spans="5:5" ht="12.75" customHeight="1" x14ac:dyDescent="0.15">
      <c r="E363" s="292"/>
    </row>
    <row r="364" spans="5:5" ht="12.75" customHeight="1" x14ac:dyDescent="0.15">
      <c r="E364" s="292"/>
    </row>
    <row r="365" spans="5:5" ht="12.75" customHeight="1" x14ac:dyDescent="0.15">
      <c r="E365" s="292"/>
    </row>
    <row r="366" spans="5:5" ht="12.75" customHeight="1" x14ac:dyDescent="0.15">
      <c r="E366" s="292"/>
    </row>
    <row r="367" spans="5:5" ht="12.75" customHeight="1" x14ac:dyDescent="0.15">
      <c r="E367" s="292"/>
    </row>
    <row r="368" spans="5:5" ht="12.75" customHeight="1" x14ac:dyDescent="0.15">
      <c r="E368" s="292"/>
    </row>
    <row r="369" spans="5:5" ht="12.75" customHeight="1" x14ac:dyDescent="0.15">
      <c r="E369" s="292"/>
    </row>
    <row r="370" spans="5:5" ht="12.75" customHeight="1" x14ac:dyDescent="0.15">
      <c r="E370" s="292"/>
    </row>
    <row r="371" spans="5:5" ht="12.75" customHeight="1" x14ac:dyDescent="0.15">
      <c r="E371" s="292"/>
    </row>
    <row r="372" spans="5:5" ht="12.75" customHeight="1" x14ac:dyDescent="0.15">
      <c r="E372" s="292"/>
    </row>
    <row r="373" spans="5:5" ht="12.75" customHeight="1" x14ac:dyDescent="0.15">
      <c r="E373" s="292"/>
    </row>
    <row r="374" spans="5:5" ht="12.75" customHeight="1" x14ac:dyDescent="0.15">
      <c r="E374" s="292"/>
    </row>
    <row r="375" spans="5:5" ht="12.75" customHeight="1" x14ac:dyDescent="0.15">
      <c r="E375" s="292"/>
    </row>
    <row r="376" spans="5:5" ht="12.75" customHeight="1" x14ac:dyDescent="0.15">
      <c r="E376" s="292"/>
    </row>
    <row r="377" spans="5:5" ht="12.75" customHeight="1" x14ac:dyDescent="0.15">
      <c r="E377" s="292"/>
    </row>
    <row r="378" spans="5:5" ht="12.75" customHeight="1" x14ac:dyDescent="0.15">
      <c r="E378" s="292"/>
    </row>
    <row r="379" spans="5:5" ht="12.75" customHeight="1" x14ac:dyDescent="0.15">
      <c r="E379" s="292"/>
    </row>
    <row r="380" spans="5:5" ht="12.75" customHeight="1" x14ac:dyDescent="0.15">
      <c r="E380" s="292"/>
    </row>
    <row r="381" spans="5:5" ht="12.75" customHeight="1" x14ac:dyDescent="0.15">
      <c r="E381" s="292"/>
    </row>
    <row r="382" spans="5:5" ht="12.75" customHeight="1" x14ac:dyDescent="0.15">
      <c r="E382" s="292"/>
    </row>
    <row r="383" spans="5:5" ht="12.75" customHeight="1" x14ac:dyDescent="0.15">
      <c r="E383" s="292"/>
    </row>
    <row r="384" spans="5:5" ht="12.75" customHeight="1" x14ac:dyDescent="0.15">
      <c r="E384" s="292"/>
    </row>
    <row r="385" spans="5:5" ht="12.75" customHeight="1" x14ac:dyDescent="0.15">
      <c r="E385" s="292"/>
    </row>
    <row r="386" spans="5:5" ht="12.75" customHeight="1" x14ac:dyDescent="0.15">
      <c r="E386" s="292"/>
    </row>
    <row r="387" spans="5:5" ht="12.75" customHeight="1" x14ac:dyDescent="0.15">
      <c r="E387" s="292"/>
    </row>
    <row r="388" spans="5:5" ht="12.75" customHeight="1" x14ac:dyDescent="0.15">
      <c r="E388" s="292"/>
    </row>
    <row r="389" spans="5:5" ht="12.75" customHeight="1" x14ac:dyDescent="0.15">
      <c r="E389" s="292"/>
    </row>
    <row r="390" spans="5:5" ht="12.75" customHeight="1" x14ac:dyDescent="0.15">
      <c r="E390" s="292"/>
    </row>
    <row r="391" spans="5:5" ht="12.75" customHeight="1" x14ac:dyDescent="0.15">
      <c r="E391" s="292"/>
    </row>
    <row r="392" spans="5:5" ht="12.75" customHeight="1" x14ac:dyDescent="0.15">
      <c r="E392" s="292"/>
    </row>
    <row r="393" spans="5:5" ht="12.75" customHeight="1" x14ac:dyDescent="0.15">
      <c r="E393" s="292"/>
    </row>
    <row r="394" spans="5:5" ht="12.75" customHeight="1" x14ac:dyDescent="0.15">
      <c r="E394" s="292"/>
    </row>
    <row r="395" spans="5:5" ht="12.75" customHeight="1" x14ac:dyDescent="0.15">
      <c r="E395" s="292"/>
    </row>
    <row r="396" spans="5:5" ht="12.75" customHeight="1" x14ac:dyDescent="0.15">
      <c r="E396" s="292"/>
    </row>
    <row r="397" spans="5:5" ht="12.75" customHeight="1" x14ac:dyDescent="0.15">
      <c r="E397" s="292"/>
    </row>
    <row r="398" spans="5:5" ht="12.75" customHeight="1" x14ac:dyDescent="0.15">
      <c r="E398" s="292"/>
    </row>
    <row r="399" spans="5:5" ht="12.75" customHeight="1" x14ac:dyDescent="0.15">
      <c r="E399" s="292"/>
    </row>
    <row r="400" spans="5:5" ht="12.75" customHeight="1" x14ac:dyDescent="0.15">
      <c r="E400" s="292"/>
    </row>
    <row r="401" spans="5:5" ht="12.75" customHeight="1" x14ac:dyDescent="0.15">
      <c r="E401" s="292"/>
    </row>
    <row r="402" spans="5:5" ht="12.75" customHeight="1" x14ac:dyDescent="0.15">
      <c r="E402" s="292"/>
    </row>
    <row r="403" spans="5:5" ht="12.75" customHeight="1" x14ac:dyDescent="0.15">
      <c r="E403" s="292"/>
    </row>
    <row r="404" spans="5:5" ht="12.75" customHeight="1" x14ac:dyDescent="0.15">
      <c r="E404" s="292"/>
    </row>
    <row r="405" spans="5:5" ht="12.75" customHeight="1" x14ac:dyDescent="0.15">
      <c r="E405" s="292"/>
    </row>
    <row r="406" spans="5:5" ht="12.75" customHeight="1" x14ac:dyDescent="0.15">
      <c r="E406" s="292"/>
    </row>
    <row r="407" spans="5:5" ht="12.75" customHeight="1" x14ac:dyDescent="0.15">
      <c r="E407" s="292"/>
    </row>
    <row r="408" spans="5:5" ht="12.75" customHeight="1" x14ac:dyDescent="0.15">
      <c r="E408" s="292"/>
    </row>
    <row r="409" spans="5:5" ht="12.75" customHeight="1" x14ac:dyDescent="0.15">
      <c r="E409" s="292"/>
    </row>
    <row r="410" spans="5:5" ht="12.75" customHeight="1" x14ac:dyDescent="0.15">
      <c r="E410" s="292"/>
    </row>
    <row r="411" spans="5:5" ht="12.75" customHeight="1" x14ac:dyDescent="0.15">
      <c r="E411" s="292"/>
    </row>
    <row r="412" spans="5:5" ht="12.75" customHeight="1" x14ac:dyDescent="0.15">
      <c r="E412" s="292"/>
    </row>
    <row r="413" spans="5:5" ht="12.75" customHeight="1" x14ac:dyDescent="0.15">
      <c r="E413" s="292"/>
    </row>
    <row r="414" spans="5:5" ht="12.75" customHeight="1" x14ac:dyDescent="0.15">
      <c r="E414" s="292"/>
    </row>
    <row r="415" spans="5:5" ht="12.75" customHeight="1" x14ac:dyDescent="0.15">
      <c r="E415" s="292"/>
    </row>
    <row r="416" spans="5:5" ht="12.75" customHeight="1" x14ac:dyDescent="0.15">
      <c r="E416" s="292"/>
    </row>
    <row r="417" spans="5:5" ht="12.75" customHeight="1" x14ac:dyDescent="0.15">
      <c r="E417" s="292"/>
    </row>
    <row r="418" spans="5:5" ht="12.75" customHeight="1" x14ac:dyDescent="0.15">
      <c r="E418" s="292"/>
    </row>
    <row r="419" spans="5:5" ht="12.75" customHeight="1" x14ac:dyDescent="0.15">
      <c r="E419" s="292"/>
    </row>
    <row r="420" spans="5:5" ht="12.75" customHeight="1" x14ac:dyDescent="0.15">
      <c r="E420" s="292"/>
    </row>
    <row r="421" spans="5:5" ht="12.75" customHeight="1" x14ac:dyDescent="0.15">
      <c r="E421" s="292"/>
    </row>
    <row r="422" spans="5:5" ht="12.75" customHeight="1" x14ac:dyDescent="0.15">
      <c r="E422" s="292"/>
    </row>
    <row r="423" spans="5:5" ht="12.75" customHeight="1" x14ac:dyDescent="0.15">
      <c r="E423" s="292"/>
    </row>
    <row r="424" spans="5:5" ht="12.75" customHeight="1" x14ac:dyDescent="0.15">
      <c r="E424" s="292"/>
    </row>
    <row r="425" spans="5:5" ht="12.75" customHeight="1" x14ac:dyDescent="0.15">
      <c r="E425" s="292"/>
    </row>
    <row r="426" spans="5:5" ht="12.75" customHeight="1" x14ac:dyDescent="0.15">
      <c r="E426" s="292"/>
    </row>
    <row r="427" spans="5:5" ht="12.75" customHeight="1" x14ac:dyDescent="0.15">
      <c r="E427" s="292"/>
    </row>
    <row r="428" spans="5:5" ht="12.75" customHeight="1" x14ac:dyDescent="0.15">
      <c r="E428" s="292"/>
    </row>
    <row r="429" spans="5:5" ht="12.75" customHeight="1" x14ac:dyDescent="0.15">
      <c r="E429" s="292"/>
    </row>
    <row r="430" spans="5:5" ht="12.75" customHeight="1" x14ac:dyDescent="0.15">
      <c r="E430" s="292"/>
    </row>
    <row r="431" spans="5:5" ht="12.75" customHeight="1" x14ac:dyDescent="0.15">
      <c r="E431" s="292"/>
    </row>
    <row r="432" spans="5:5" ht="12.75" customHeight="1" x14ac:dyDescent="0.15">
      <c r="E432" s="292"/>
    </row>
    <row r="433" spans="5:5" ht="12.75" customHeight="1" x14ac:dyDescent="0.15">
      <c r="E433" s="292"/>
    </row>
    <row r="434" spans="5:5" ht="12.75" customHeight="1" x14ac:dyDescent="0.15">
      <c r="E434" s="292"/>
    </row>
    <row r="435" spans="5:5" ht="12.75" customHeight="1" x14ac:dyDescent="0.15">
      <c r="E435" s="292"/>
    </row>
    <row r="436" spans="5:5" ht="12.75" customHeight="1" x14ac:dyDescent="0.15">
      <c r="E436" s="292"/>
    </row>
    <row r="437" spans="5:5" ht="12.75" customHeight="1" x14ac:dyDescent="0.15">
      <c r="E437" s="292"/>
    </row>
    <row r="438" spans="5:5" ht="12.75" customHeight="1" x14ac:dyDescent="0.15">
      <c r="E438" s="292"/>
    </row>
    <row r="439" spans="5:5" ht="12.75" customHeight="1" x14ac:dyDescent="0.15">
      <c r="E439" s="292"/>
    </row>
    <row r="440" spans="5:5" ht="12.75" customHeight="1" x14ac:dyDescent="0.15">
      <c r="E440" s="292"/>
    </row>
    <row r="441" spans="5:5" ht="12.75" customHeight="1" x14ac:dyDescent="0.15">
      <c r="E441" s="292"/>
    </row>
    <row r="442" spans="5:5" ht="12.75" customHeight="1" x14ac:dyDescent="0.15">
      <c r="E442" s="292"/>
    </row>
    <row r="443" spans="5:5" ht="12.75" customHeight="1" x14ac:dyDescent="0.15">
      <c r="E443" s="292"/>
    </row>
    <row r="444" spans="5:5" ht="12.75" customHeight="1" x14ac:dyDescent="0.15">
      <c r="E444" s="292"/>
    </row>
    <row r="445" spans="5:5" ht="12.75" customHeight="1" x14ac:dyDescent="0.15">
      <c r="E445" s="292"/>
    </row>
    <row r="446" spans="5:5" ht="12.75" customHeight="1" x14ac:dyDescent="0.15">
      <c r="E446" s="292"/>
    </row>
    <row r="447" spans="5:5" ht="12.75" customHeight="1" x14ac:dyDescent="0.15">
      <c r="E447" s="292"/>
    </row>
    <row r="448" spans="5:5" ht="12.75" customHeight="1" x14ac:dyDescent="0.15">
      <c r="E448" s="292"/>
    </row>
    <row r="449" spans="5:5" ht="12.75" customHeight="1" x14ac:dyDescent="0.15">
      <c r="E449" s="292"/>
    </row>
    <row r="450" spans="5:5" ht="12.75" customHeight="1" x14ac:dyDescent="0.15">
      <c r="E450" s="292"/>
    </row>
    <row r="451" spans="5:5" ht="12.75" customHeight="1" x14ac:dyDescent="0.15">
      <c r="E451" s="292"/>
    </row>
    <row r="452" spans="5:5" ht="12.75" customHeight="1" x14ac:dyDescent="0.15">
      <c r="E452" s="292"/>
    </row>
    <row r="453" spans="5:5" ht="12.75" customHeight="1" x14ac:dyDescent="0.15">
      <c r="E453" s="292"/>
    </row>
    <row r="454" spans="5:5" ht="12.75" customHeight="1" x14ac:dyDescent="0.15">
      <c r="E454" s="292"/>
    </row>
    <row r="455" spans="5:5" ht="12.75" customHeight="1" x14ac:dyDescent="0.15">
      <c r="E455" s="292"/>
    </row>
    <row r="456" spans="5:5" ht="12.75" customHeight="1" x14ac:dyDescent="0.15">
      <c r="E456" s="292"/>
    </row>
    <row r="457" spans="5:5" ht="12.75" customHeight="1" x14ac:dyDescent="0.15">
      <c r="E457" s="292"/>
    </row>
    <row r="458" spans="5:5" ht="12.75" customHeight="1" x14ac:dyDescent="0.15">
      <c r="E458" s="292"/>
    </row>
    <row r="459" spans="5:5" ht="12.75" customHeight="1" x14ac:dyDescent="0.15">
      <c r="E459" s="292"/>
    </row>
    <row r="460" spans="5:5" ht="12.75" customHeight="1" x14ac:dyDescent="0.15">
      <c r="E460" s="292"/>
    </row>
    <row r="461" spans="5:5" ht="12.75" customHeight="1" x14ac:dyDescent="0.15">
      <c r="E461" s="292"/>
    </row>
    <row r="462" spans="5:5" ht="12.75" customHeight="1" x14ac:dyDescent="0.15">
      <c r="E462" s="292"/>
    </row>
    <row r="463" spans="5:5" ht="12.75" customHeight="1" x14ac:dyDescent="0.15">
      <c r="E463" s="292"/>
    </row>
    <row r="464" spans="5:5" ht="12.75" customHeight="1" x14ac:dyDescent="0.15">
      <c r="E464" s="292"/>
    </row>
    <row r="465" spans="5:5" ht="12.75" customHeight="1" x14ac:dyDescent="0.15">
      <c r="E465" s="292"/>
    </row>
    <row r="466" spans="5:5" ht="12.75" customHeight="1" x14ac:dyDescent="0.15">
      <c r="E466" s="292"/>
    </row>
    <row r="467" spans="5:5" ht="12.75" customHeight="1" x14ac:dyDescent="0.15">
      <c r="E467" s="292"/>
    </row>
    <row r="468" spans="5:5" ht="12.75" customHeight="1" x14ac:dyDescent="0.15">
      <c r="E468" s="292"/>
    </row>
    <row r="469" spans="5:5" ht="12.75" customHeight="1" x14ac:dyDescent="0.15">
      <c r="E469" s="292"/>
    </row>
    <row r="470" spans="5:5" ht="12.75" customHeight="1" x14ac:dyDescent="0.15">
      <c r="E470" s="292"/>
    </row>
    <row r="471" spans="5:5" ht="12.75" customHeight="1" x14ac:dyDescent="0.15">
      <c r="E471" s="292"/>
    </row>
    <row r="472" spans="5:5" ht="12.75" customHeight="1" x14ac:dyDescent="0.15">
      <c r="E472" s="292"/>
    </row>
    <row r="473" spans="5:5" ht="12.75" customHeight="1" x14ac:dyDescent="0.15">
      <c r="E473" s="292"/>
    </row>
    <row r="474" spans="5:5" ht="12.75" customHeight="1" x14ac:dyDescent="0.15">
      <c r="E474" s="292"/>
    </row>
    <row r="475" spans="5:5" ht="12.75" customHeight="1" x14ac:dyDescent="0.15">
      <c r="E475" s="292"/>
    </row>
    <row r="476" spans="5:5" ht="12.75" customHeight="1" x14ac:dyDescent="0.15">
      <c r="E476" s="292"/>
    </row>
    <row r="477" spans="5:5" ht="12.75" customHeight="1" x14ac:dyDescent="0.15">
      <c r="E477" s="292"/>
    </row>
    <row r="478" spans="5:5" ht="12.75" customHeight="1" x14ac:dyDescent="0.15">
      <c r="E478" s="292"/>
    </row>
    <row r="479" spans="5:5" ht="12.75" customHeight="1" x14ac:dyDescent="0.15">
      <c r="E479" s="292"/>
    </row>
    <row r="480" spans="5:5" ht="12.75" customHeight="1" x14ac:dyDescent="0.15">
      <c r="E480" s="292"/>
    </row>
    <row r="481" spans="5:5" ht="12.75" customHeight="1" x14ac:dyDescent="0.15">
      <c r="E481" s="292"/>
    </row>
    <row r="482" spans="5:5" ht="12.75" customHeight="1" x14ac:dyDescent="0.15">
      <c r="E482" s="292"/>
    </row>
    <row r="483" spans="5:5" ht="12.75" customHeight="1" x14ac:dyDescent="0.15">
      <c r="E483" s="292"/>
    </row>
    <row r="484" spans="5:5" ht="12.75" customHeight="1" x14ac:dyDescent="0.15">
      <c r="E484" s="292"/>
    </row>
    <row r="485" spans="5:5" ht="12.75" customHeight="1" x14ac:dyDescent="0.15">
      <c r="E485" s="292"/>
    </row>
    <row r="486" spans="5:5" ht="12.75" customHeight="1" x14ac:dyDescent="0.15">
      <c r="E486" s="292"/>
    </row>
    <row r="487" spans="5:5" ht="12.75" customHeight="1" x14ac:dyDescent="0.15">
      <c r="E487" s="292"/>
    </row>
    <row r="488" spans="5:5" ht="12.75" customHeight="1" x14ac:dyDescent="0.15">
      <c r="E488" s="292"/>
    </row>
    <row r="489" spans="5:5" ht="12.75" customHeight="1" x14ac:dyDescent="0.15">
      <c r="E489" s="292"/>
    </row>
    <row r="490" spans="5:5" ht="12.75" customHeight="1" x14ac:dyDescent="0.15">
      <c r="E490" s="292"/>
    </row>
    <row r="491" spans="5:5" ht="12.75" customHeight="1" x14ac:dyDescent="0.15">
      <c r="E491" s="292"/>
    </row>
    <row r="492" spans="5:5" ht="12.75" customHeight="1" x14ac:dyDescent="0.15">
      <c r="E492" s="292"/>
    </row>
    <row r="493" spans="5:5" ht="12.75" customHeight="1" x14ac:dyDescent="0.15">
      <c r="E493" s="292"/>
    </row>
    <row r="494" spans="5:5" ht="12.75" customHeight="1" x14ac:dyDescent="0.15">
      <c r="E494" s="292"/>
    </row>
    <row r="495" spans="5:5" ht="12.75" customHeight="1" x14ac:dyDescent="0.15">
      <c r="E495" s="292"/>
    </row>
    <row r="496" spans="5:5" ht="12.75" customHeight="1" x14ac:dyDescent="0.15">
      <c r="E496" s="292"/>
    </row>
    <row r="497" spans="5:5" ht="12.75" customHeight="1" x14ac:dyDescent="0.15">
      <c r="E497" s="292"/>
    </row>
    <row r="498" spans="5:5" ht="12.75" customHeight="1" x14ac:dyDescent="0.15">
      <c r="E498" s="292"/>
    </row>
    <row r="499" spans="5:5" ht="12.75" customHeight="1" x14ac:dyDescent="0.15">
      <c r="E499" s="292"/>
    </row>
    <row r="500" spans="5:5" ht="12.75" customHeight="1" x14ac:dyDescent="0.15">
      <c r="E500" s="292"/>
    </row>
    <row r="501" spans="5:5" ht="12.75" customHeight="1" x14ac:dyDescent="0.15">
      <c r="E501" s="292"/>
    </row>
    <row r="502" spans="5:5" ht="12.75" customHeight="1" x14ac:dyDescent="0.15">
      <c r="E502" s="292"/>
    </row>
    <row r="503" spans="5:5" ht="12.75" customHeight="1" x14ac:dyDescent="0.15">
      <c r="E503" s="292"/>
    </row>
    <row r="504" spans="5:5" ht="12.75" customHeight="1" x14ac:dyDescent="0.15">
      <c r="E504" s="292"/>
    </row>
    <row r="505" spans="5:5" ht="12.75" customHeight="1" x14ac:dyDescent="0.15">
      <c r="E505" s="292"/>
    </row>
    <row r="506" spans="5:5" ht="12.75" customHeight="1" x14ac:dyDescent="0.15">
      <c r="E506" s="292"/>
    </row>
    <row r="507" spans="5:5" ht="12.75" customHeight="1" x14ac:dyDescent="0.15">
      <c r="E507" s="292"/>
    </row>
    <row r="508" spans="5:5" ht="12.75" customHeight="1" x14ac:dyDescent="0.15">
      <c r="E508" s="292"/>
    </row>
    <row r="509" spans="5:5" ht="12.75" customHeight="1" x14ac:dyDescent="0.15">
      <c r="E509" s="292"/>
    </row>
    <row r="510" spans="5:5" ht="12.75" customHeight="1" x14ac:dyDescent="0.15">
      <c r="E510" s="292"/>
    </row>
    <row r="511" spans="5:5" ht="12.75" customHeight="1" x14ac:dyDescent="0.15">
      <c r="E511" s="292"/>
    </row>
    <row r="512" spans="5:5" ht="12.75" customHeight="1" x14ac:dyDescent="0.15">
      <c r="E512" s="292"/>
    </row>
    <row r="513" spans="5:5" ht="12.75" customHeight="1" x14ac:dyDescent="0.15">
      <c r="E513" s="292"/>
    </row>
    <row r="514" spans="5:5" ht="12.75" customHeight="1" x14ac:dyDescent="0.15">
      <c r="E514" s="292"/>
    </row>
    <row r="515" spans="5:5" ht="12.75" customHeight="1" x14ac:dyDescent="0.15">
      <c r="E515" s="292"/>
    </row>
    <row r="516" spans="5:5" ht="12.75" customHeight="1" x14ac:dyDescent="0.15">
      <c r="E516" s="292"/>
    </row>
    <row r="517" spans="5:5" ht="12.75" customHeight="1" x14ac:dyDescent="0.15">
      <c r="E517" s="292"/>
    </row>
    <row r="518" spans="5:5" ht="12.75" customHeight="1" x14ac:dyDescent="0.15">
      <c r="E518" s="292"/>
    </row>
    <row r="519" spans="5:5" ht="12.75" customHeight="1" x14ac:dyDescent="0.15">
      <c r="E519" s="292"/>
    </row>
    <row r="520" spans="5:5" ht="12.75" customHeight="1" x14ac:dyDescent="0.15">
      <c r="E520" s="292"/>
    </row>
    <row r="521" spans="5:5" ht="12.75" customHeight="1" x14ac:dyDescent="0.15">
      <c r="E521" s="292"/>
    </row>
    <row r="522" spans="5:5" ht="12.75" customHeight="1" x14ac:dyDescent="0.15">
      <c r="E522" s="292"/>
    </row>
    <row r="523" spans="5:5" ht="12.75" customHeight="1" x14ac:dyDescent="0.15">
      <c r="E523" s="292"/>
    </row>
    <row r="524" spans="5:5" ht="12.75" customHeight="1" x14ac:dyDescent="0.15">
      <c r="E524" s="292"/>
    </row>
    <row r="525" spans="5:5" ht="12.75" customHeight="1" x14ac:dyDescent="0.15">
      <c r="E525" s="292"/>
    </row>
    <row r="526" spans="5:5" ht="12.75" customHeight="1" x14ac:dyDescent="0.15">
      <c r="E526" s="292"/>
    </row>
    <row r="527" spans="5:5" ht="12.75" customHeight="1" x14ac:dyDescent="0.15">
      <c r="E527" s="292"/>
    </row>
    <row r="528" spans="5:5" ht="12.75" customHeight="1" x14ac:dyDescent="0.15">
      <c r="E528" s="292"/>
    </row>
    <row r="529" spans="5:5" ht="12.75" customHeight="1" x14ac:dyDescent="0.15">
      <c r="E529" s="292"/>
    </row>
    <row r="530" spans="5:5" ht="12.75" customHeight="1" x14ac:dyDescent="0.15">
      <c r="E530" s="292"/>
    </row>
    <row r="531" spans="5:5" ht="12.75" customHeight="1" x14ac:dyDescent="0.15">
      <c r="E531" s="292"/>
    </row>
    <row r="532" spans="5:5" ht="12.75" customHeight="1" x14ac:dyDescent="0.15">
      <c r="E532" s="292"/>
    </row>
    <row r="533" spans="5:5" ht="12.75" customHeight="1" x14ac:dyDescent="0.15">
      <c r="E533" s="292"/>
    </row>
    <row r="534" spans="5:5" ht="12.75" customHeight="1" x14ac:dyDescent="0.15">
      <c r="E534" s="292"/>
    </row>
    <row r="535" spans="5:5" ht="12.75" customHeight="1" x14ac:dyDescent="0.15">
      <c r="E535" s="292"/>
    </row>
    <row r="536" spans="5:5" ht="12.75" customHeight="1" x14ac:dyDescent="0.15">
      <c r="E536" s="292"/>
    </row>
    <row r="537" spans="5:5" ht="12.75" customHeight="1" x14ac:dyDescent="0.15">
      <c r="E537" s="292"/>
    </row>
    <row r="538" spans="5:5" ht="12.75" customHeight="1" x14ac:dyDescent="0.15">
      <c r="E538" s="292"/>
    </row>
    <row r="539" spans="5:5" ht="12.75" customHeight="1" x14ac:dyDescent="0.15">
      <c r="E539" s="292"/>
    </row>
    <row r="540" spans="5:5" ht="12.75" customHeight="1" x14ac:dyDescent="0.15">
      <c r="E540" s="292"/>
    </row>
    <row r="541" spans="5:5" ht="12.75" customHeight="1" x14ac:dyDescent="0.15">
      <c r="E541" s="292"/>
    </row>
    <row r="542" spans="5:5" ht="12.75" customHeight="1" x14ac:dyDescent="0.15">
      <c r="E542" s="292"/>
    </row>
    <row r="543" spans="5:5" ht="12.75" customHeight="1" x14ac:dyDescent="0.15">
      <c r="E543" s="292"/>
    </row>
    <row r="544" spans="5:5" ht="12.75" customHeight="1" x14ac:dyDescent="0.15">
      <c r="E544" s="292"/>
    </row>
    <row r="545" spans="5:5" ht="12.75" customHeight="1" x14ac:dyDescent="0.15">
      <c r="E545" s="292"/>
    </row>
    <row r="546" spans="5:5" ht="12.75" customHeight="1" x14ac:dyDescent="0.15">
      <c r="E546" s="292"/>
    </row>
    <row r="547" spans="5:5" ht="12.75" customHeight="1" x14ac:dyDescent="0.15">
      <c r="E547" s="292"/>
    </row>
    <row r="548" spans="5:5" ht="12.75" customHeight="1" x14ac:dyDescent="0.15">
      <c r="E548" s="292"/>
    </row>
    <row r="549" spans="5:5" ht="12.75" customHeight="1" x14ac:dyDescent="0.15">
      <c r="E549" s="292"/>
    </row>
    <row r="550" spans="5:5" ht="12.75" customHeight="1" x14ac:dyDescent="0.15">
      <c r="E550" s="292"/>
    </row>
    <row r="551" spans="5:5" ht="12.75" customHeight="1" x14ac:dyDescent="0.15">
      <c r="E551" s="292"/>
    </row>
    <row r="552" spans="5:5" ht="12.75" customHeight="1" x14ac:dyDescent="0.15">
      <c r="E552" s="292"/>
    </row>
    <row r="553" spans="5:5" ht="12.75" customHeight="1" x14ac:dyDescent="0.15">
      <c r="E553" s="292"/>
    </row>
    <row r="554" spans="5:5" ht="12.75" customHeight="1" x14ac:dyDescent="0.15">
      <c r="E554" s="292"/>
    </row>
    <row r="555" spans="5:5" ht="12.75" customHeight="1" x14ac:dyDescent="0.15">
      <c r="E555" s="292"/>
    </row>
    <row r="556" spans="5:5" ht="12.75" customHeight="1" x14ac:dyDescent="0.15">
      <c r="E556" s="292"/>
    </row>
    <row r="557" spans="5:5" ht="12.75" customHeight="1" x14ac:dyDescent="0.15">
      <c r="E557" s="292"/>
    </row>
    <row r="558" spans="5:5" ht="12.75" customHeight="1" x14ac:dyDescent="0.15">
      <c r="E558" s="292"/>
    </row>
    <row r="559" spans="5:5" ht="12.75" customHeight="1" x14ac:dyDescent="0.15">
      <c r="E559" s="292"/>
    </row>
    <row r="560" spans="5:5" ht="12.75" customHeight="1" x14ac:dyDescent="0.15">
      <c r="E560" s="292"/>
    </row>
    <row r="561" spans="5:5" ht="12.75" customHeight="1" x14ac:dyDescent="0.15">
      <c r="E561" s="292"/>
    </row>
    <row r="562" spans="5:5" ht="12.75" customHeight="1" x14ac:dyDescent="0.15">
      <c r="E562" s="292"/>
    </row>
    <row r="563" spans="5:5" ht="12.75" customHeight="1" x14ac:dyDescent="0.15">
      <c r="E563" s="292"/>
    </row>
    <row r="564" spans="5:5" ht="12.75" customHeight="1" x14ac:dyDescent="0.15">
      <c r="E564" s="292"/>
    </row>
    <row r="565" spans="5:5" ht="12.75" customHeight="1" x14ac:dyDescent="0.15">
      <c r="E565" s="292"/>
    </row>
    <row r="566" spans="5:5" ht="12.75" customHeight="1" x14ac:dyDescent="0.15">
      <c r="E566" s="292"/>
    </row>
    <row r="567" spans="5:5" ht="12.75" customHeight="1" x14ac:dyDescent="0.15">
      <c r="E567" s="292"/>
    </row>
    <row r="568" spans="5:5" ht="12.75" customHeight="1" x14ac:dyDescent="0.15">
      <c r="E568" s="292"/>
    </row>
    <row r="569" spans="5:5" ht="12.75" customHeight="1" x14ac:dyDescent="0.15">
      <c r="E569" s="292"/>
    </row>
    <row r="570" spans="5:5" ht="12.75" customHeight="1" x14ac:dyDescent="0.15">
      <c r="E570" s="292"/>
    </row>
    <row r="571" spans="5:5" ht="12.75" customHeight="1" x14ac:dyDescent="0.15">
      <c r="E571" s="292"/>
    </row>
    <row r="572" spans="5:5" ht="12.75" customHeight="1" x14ac:dyDescent="0.15">
      <c r="E572" s="292"/>
    </row>
    <row r="573" spans="5:5" ht="12.75" customHeight="1" x14ac:dyDescent="0.15">
      <c r="E573" s="292"/>
    </row>
    <row r="574" spans="5:5" ht="12.75" customHeight="1" x14ac:dyDescent="0.15">
      <c r="E574" s="292"/>
    </row>
    <row r="575" spans="5:5" ht="12.75" customHeight="1" x14ac:dyDescent="0.15">
      <c r="E575" s="292"/>
    </row>
    <row r="576" spans="5:5" ht="12.75" customHeight="1" x14ac:dyDescent="0.15">
      <c r="E576" s="292"/>
    </row>
    <row r="577" spans="5:5" ht="12.75" customHeight="1" x14ac:dyDescent="0.15">
      <c r="E577" s="292"/>
    </row>
    <row r="578" spans="5:5" ht="12.75" customHeight="1" x14ac:dyDescent="0.15">
      <c r="E578" s="292"/>
    </row>
    <row r="579" spans="5:5" ht="12.75" customHeight="1" x14ac:dyDescent="0.15">
      <c r="E579" s="292"/>
    </row>
    <row r="580" spans="5:5" ht="12.75" customHeight="1" x14ac:dyDescent="0.15">
      <c r="E580" s="292"/>
    </row>
    <row r="581" spans="5:5" ht="12.75" customHeight="1" x14ac:dyDescent="0.15">
      <c r="E581" s="292"/>
    </row>
    <row r="582" spans="5:5" ht="12.75" customHeight="1" x14ac:dyDescent="0.15">
      <c r="E582" s="292"/>
    </row>
    <row r="583" spans="5:5" ht="12.75" customHeight="1" x14ac:dyDescent="0.15">
      <c r="E583" s="292"/>
    </row>
    <row r="584" spans="5:5" ht="12.75" customHeight="1" x14ac:dyDescent="0.15">
      <c r="E584" s="292"/>
    </row>
    <row r="585" spans="5:5" ht="12.75" customHeight="1" x14ac:dyDescent="0.15">
      <c r="E585" s="292"/>
    </row>
    <row r="586" spans="5:5" ht="12.75" customHeight="1" x14ac:dyDescent="0.15">
      <c r="E586" s="292"/>
    </row>
    <row r="587" spans="5:5" ht="12.75" customHeight="1" x14ac:dyDescent="0.15">
      <c r="E587" s="292"/>
    </row>
    <row r="588" spans="5:5" ht="12.75" customHeight="1" x14ac:dyDescent="0.15">
      <c r="E588" s="292"/>
    </row>
    <row r="589" spans="5:5" ht="12.75" customHeight="1" x14ac:dyDescent="0.15">
      <c r="E589" s="292"/>
    </row>
    <row r="590" spans="5:5" ht="12.75" customHeight="1" x14ac:dyDescent="0.15">
      <c r="E590" s="292"/>
    </row>
    <row r="591" spans="5:5" ht="12.75" customHeight="1" x14ac:dyDescent="0.15">
      <c r="E591" s="292"/>
    </row>
    <row r="592" spans="5:5" ht="12.75" customHeight="1" x14ac:dyDescent="0.15">
      <c r="E592" s="292"/>
    </row>
    <row r="593" spans="5:5" ht="12.75" customHeight="1" x14ac:dyDescent="0.15">
      <c r="E593" s="292"/>
    </row>
    <row r="594" spans="5:5" ht="12.75" customHeight="1" x14ac:dyDescent="0.15">
      <c r="E594" s="292"/>
    </row>
    <row r="595" spans="5:5" ht="12.75" customHeight="1" x14ac:dyDescent="0.15">
      <c r="E595" s="292"/>
    </row>
    <row r="596" spans="5:5" ht="12.75" customHeight="1" x14ac:dyDescent="0.15">
      <c r="E596" s="292"/>
    </row>
    <row r="597" spans="5:5" ht="12.75" customHeight="1" x14ac:dyDescent="0.15">
      <c r="E597" s="292"/>
    </row>
    <row r="598" spans="5:5" ht="12.75" customHeight="1" x14ac:dyDescent="0.15">
      <c r="E598" s="292"/>
    </row>
    <row r="599" spans="5:5" ht="12.75" customHeight="1" x14ac:dyDescent="0.15">
      <c r="E599" s="292"/>
    </row>
    <row r="600" spans="5:5" ht="12.75" customHeight="1" x14ac:dyDescent="0.15">
      <c r="E600" s="292"/>
    </row>
    <row r="601" spans="5:5" ht="12.75" customHeight="1" x14ac:dyDescent="0.15">
      <c r="E601" s="292"/>
    </row>
    <row r="602" spans="5:5" ht="12.75" customHeight="1" x14ac:dyDescent="0.15">
      <c r="E602" s="292"/>
    </row>
    <row r="603" spans="5:5" ht="12.75" customHeight="1" x14ac:dyDescent="0.15">
      <c r="E603" s="292"/>
    </row>
    <row r="604" spans="5:5" ht="12.75" customHeight="1" x14ac:dyDescent="0.15">
      <c r="E604" s="292"/>
    </row>
    <row r="605" spans="5:5" ht="12.75" customHeight="1" x14ac:dyDescent="0.15">
      <c r="E605" s="292"/>
    </row>
    <row r="606" spans="5:5" ht="12.75" customHeight="1" x14ac:dyDescent="0.15">
      <c r="E606" s="292"/>
    </row>
    <row r="607" spans="5:5" ht="12.75" customHeight="1" x14ac:dyDescent="0.15">
      <c r="E607" s="292"/>
    </row>
    <row r="608" spans="5:5" ht="12.75" customHeight="1" x14ac:dyDescent="0.15">
      <c r="E608" s="292"/>
    </row>
    <row r="609" spans="5:5" ht="12.75" customHeight="1" x14ac:dyDescent="0.15">
      <c r="E609" s="292"/>
    </row>
    <row r="610" spans="5:5" ht="12.75" customHeight="1" x14ac:dyDescent="0.15">
      <c r="E610" s="292"/>
    </row>
    <row r="611" spans="5:5" ht="12.75" customHeight="1" x14ac:dyDescent="0.15">
      <c r="E611" s="292"/>
    </row>
    <row r="612" spans="5:5" ht="12.75" customHeight="1" x14ac:dyDescent="0.15">
      <c r="E612" s="292"/>
    </row>
    <row r="613" spans="5:5" ht="12.75" customHeight="1" x14ac:dyDescent="0.15">
      <c r="E613" s="292"/>
    </row>
    <row r="614" spans="5:5" ht="12.75" customHeight="1" x14ac:dyDescent="0.15">
      <c r="E614" s="292"/>
    </row>
    <row r="615" spans="5:5" ht="12.75" customHeight="1" x14ac:dyDescent="0.15">
      <c r="E615" s="292"/>
    </row>
    <row r="616" spans="5:5" ht="12.75" customHeight="1" x14ac:dyDescent="0.15">
      <c r="E616" s="292"/>
    </row>
    <row r="617" spans="5:5" ht="12.75" customHeight="1" x14ac:dyDescent="0.15">
      <c r="E617" s="292"/>
    </row>
    <row r="618" spans="5:5" ht="12.75" customHeight="1" x14ac:dyDescent="0.15">
      <c r="E618" s="292"/>
    </row>
    <row r="619" spans="5:5" ht="12.75" customHeight="1" x14ac:dyDescent="0.15">
      <c r="E619" s="292"/>
    </row>
    <row r="620" spans="5:5" ht="12.75" customHeight="1" x14ac:dyDescent="0.15">
      <c r="E620" s="292"/>
    </row>
    <row r="621" spans="5:5" ht="12.75" customHeight="1" x14ac:dyDescent="0.15">
      <c r="E621" s="292"/>
    </row>
    <row r="622" spans="5:5" ht="12.75" customHeight="1" x14ac:dyDescent="0.15">
      <c r="E622" s="292"/>
    </row>
    <row r="623" spans="5:5" ht="12.75" customHeight="1" x14ac:dyDescent="0.15">
      <c r="E623" s="292"/>
    </row>
    <row r="624" spans="5:5" ht="12.75" customHeight="1" x14ac:dyDescent="0.15">
      <c r="E624" s="292"/>
    </row>
    <row r="625" spans="5:5" ht="12.75" customHeight="1" x14ac:dyDescent="0.15">
      <c r="E625" s="292"/>
    </row>
    <row r="626" spans="5:5" ht="12.75" customHeight="1" x14ac:dyDescent="0.15">
      <c r="E626" s="292"/>
    </row>
    <row r="627" spans="5:5" ht="12.75" customHeight="1" x14ac:dyDescent="0.15">
      <c r="E627" s="292"/>
    </row>
    <row r="628" spans="5:5" ht="12.75" customHeight="1" x14ac:dyDescent="0.15">
      <c r="E628" s="292"/>
    </row>
    <row r="629" spans="5:5" ht="12.75" customHeight="1" x14ac:dyDescent="0.15">
      <c r="E629" s="292"/>
    </row>
    <row r="630" spans="5:5" ht="12.75" customHeight="1" x14ac:dyDescent="0.15">
      <c r="E630" s="292"/>
    </row>
    <row r="631" spans="5:5" ht="12.75" customHeight="1" x14ac:dyDescent="0.15">
      <c r="E631" s="292"/>
    </row>
    <row r="632" spans="5:5" ht="12.75" customHeight="1" x14ac:dyDescent="0.15">
      <c r="E632" s="292"/>
    </row>
    <row r="633" spans="5:5" ht="12.75" customHeight="1" x14ac:dyDescent="0.15">
      <c r="E633" s="292"/>
    </row>
    <row r="634" spans="5:5" ht="12.75" customHeight="1" x14ac:dyDescent="0.15">
      <c r="E634" s="292"/>
    </row>
    <row r="635" spans="5:5" ht="12.75" customHeight="1" x14ac:dyDescent="0.15">
      <c r="E635" s="292"/>
    </row>
    <row r="636" spans="5:5" ht="12.75" customHeight="1" x14ac:dyDescent="0.15">
      <c r="E636" s="292"/>
    </row>
    <row r="637" spans="5:5" ht="12.75" customHeight="1" x14ac:dyDescent="0.15">
      <c r="E637" s="292"/>
    </row>
    <row r="638" spans="5:5" ht="12.75" customHeight="1" x14ac:dyDescent="0.15">
      <c r="E638" s="292"/>
    </row>
    <row r="639" spans="5:5" ht="12.75" customHeight="1" x14ac:dyDescent="0.15">
      <c r="E639" s="292"/>
    </row>
    <row r="640" spans="5:5" ht="12.75" customHeight="1" x14ac:dyDescent="0.15">
      <c r="E640" s="292"/>
    </row>
    <row r="641" spans="5:5" ht="12.75" customHeight="1" x14ac:dyDescent="0.15">
      <c r="E641" s="292"/>
    </row>
    <row r="642" spans="5:5" ht="12.75" customHeight="1" x14ac:dyDescent="0.15">
      <c r="E642" s="292"/>
    </row>
    <row r="643" spans="5:5" ht="12.75" customHeight="1" x14ac:dyDescent="0.15">
      <c r="E643" s="292"/>
    </row>
    <row r="644" spans="5:5" ht="12.75" customHeight="1" x14ac:dyDescent="0.15">
      <c r="E644" s="292"/>
    </row>
    <row r="645" spans="5:5" ht="12.75" customHeight="1" x14ac:dyDescent="0.15">
      <c r="E645" s="292"/>
    </row>
    <row r="646" spans="5:5" ht="12.75" customHeight="1" x14ac:dyDescent="0.15">
      <c r="E646" s="292"/>
    </row>
    <row r="647" spans="5:5" ht="12.75" customHeight="1" x14ac:dyDescent="0.15">
      <c r="E647" s="292"/>
    </row>
    <row r="648" spans="5:5" ht="12.75" customHeight="1" x14ac:dyDescent="0.15">
      <c r="E648" s="292"/>
    </row>
    <row r="649" spans="5:5" ht="12.75" customHeight="1" x14ac:dyDescent="0.15">
      <c r="E649" s="292"/>
    </row>
    <row r="650" spans="5:5" ht="12.75" customHeight="1" x14ac:dyDescent="0.15">
      <c r="E650" s="292"/>
    </row>
    <row r="651" spans="5:5" ht="12.75" customHeight="1" x14ac:dyDescent="0.15">
      <c r="E651" s="292"/>
    </row>
    <row r="652" spans="5:5" ht="12.75" customHeight="1" x14ac:dyDescent="0.15">
      <c r="E652" s="292"/>
    </row>
    <row r="653" spans="5:5" ht="12.75" customHeight="1" x14ac:dyDescent="0.15">
      <c r="E653" s="292"/>
    </row>
    <row r="654" spans="5:5" ht="12.75" customHeight="1" x14ac:dyDescent="0.15">
      <c r="E654" s="292"/>
    </row>
    <row r="655" spans="5:5" ht="12.75" customHeight="1" x14ac:dyDescent="0.15">
      <c r="E655" s="292"/>
    </row>
    <row r="656" spans="5:5" ht="12.75" customHeight="1" x14ac:dyDescent="0.15">
      <c r="E656" s="292"/>
    </row>
    <row r="657" spans="5:5" ht="12.75" customHeight="1" x14ac:dyDescent="0.15">
      <c r="E657" s="292"/>
    </row>
    <row r="658" spans="5:5" ht="12.75" customHeight="1" x14ac:dyDescent="0.15">
      <c r="E658" s="292"/>
    </row>
    <row r="659" spans="5:5" ht="12.75" customHeight="1" x14ac:dyDescent="0.15">
      <c r="E659" s="292"/>
    </row>
    <row r="660" spans="5:5" ht="12.75" customHeight="1" x14ac:dyDescent="0.15">
      <c r="E660" s="292"/>
    </row>
    <row r="661" spans="5:5" ht="12.75" customHeight="1" x14ac:dyDescent="0.15">
      <c r="E661" s="292"/>
    </row>
    <row r="662" spans="5:5" ht="12.75" customHeight="1" x14ac:dyDescent="0.15">
      <c r="E662" s="292"/>
    </row>
    <row r="663" spans="5:5" ht="12.75" customHeight="1" x14ac:dyDescent="0.15">
      <c r="E663" s="292"/>
    </row>
    <row r="664" spans="5:5" ht="12.75" customHeight="1" x14ac:dyDescent="0.15">
      <c r="E664" s="292"/>
    </row>
    <row r="665" spans="5:5" ht="12.75" customHeight="1" x14ac:dyDescent="0.15">
      <c r="E665" s="292"/>
    </row>
    <row r="666" spans="5:5" ht="12.75" customHeight="1" x14ac:dyDescent="0.15">
      <c r="E666" s="292"/>
    </row>
    <row r="667" spans="5:5" ht="12.75" customHeight="1" x14ac:dyDescent="0.15">
      <c r="E667" s="292"/>
    </row>
    <row r="668" spans="5:5" ht="12.75" customHeight="1" x14ac:dyDescent="0.15">
      <c r="E668" s="292"/>
    </row>
    <row r="669" spans="5:5" ht="12.75" customHeight="1" x14ac:dyDescent="0.15">
      <c r="E669" s="292"/>
    </row>
    <row r="670" spans="5:5" ht="12.75" customHeight="1" x14ac:dyDescent="0.15">
      <c r="E670" s="292"/>
    </row>
    <row r="671" spans="5:5" ht="12.75" customHeight="1" x14ac:dyDescent="0.15">
      <c r="E671" s="292"/>
    </row>
    <row r="672" spans="5:5" ht="12.75" customHeight="1" x14ac:dyDescent="0.15">
      <c r="E672" s="292"/>
    </row>
    <row r="673" spans="5:5" ht="12.75" customHeight="1" x14ac:dyDescent="0.15">
      <c r="E673" s="292"/>
    </row>
    <row r="674" spans="5:5" ht="12.75" customHeight="1" x14ac:dyDescent="0.15">
      <c r="E674" s="292"/>
    </row>
    <row r="675" spans="5:5" ht="12.75" customHeight="1" x14ac:dyDescent="0.15">
      <c r="E675" s="292"/>
    </row>
    <row r="676" spans="5:5" ht="12.75" customHeight="1" x14ac:dyDescent="0.15">
      <c r="E676" s="292"/>
    </row>
    <row r="677" spans="5:5" ht="12.75" customHeight="1" x14ac:dyDescent="0.15">
      <c r="E677" s="292"/>
    </row>
    <row r="678" spans="5:5" ht="12.75" customHeight="1" x14ac:dyDescent="0.15">
      <c r="E678" s="292"/>
    </row>
    <row r="679" spans="5:5" ht="12.75" customHeight="1" x14ac:dyDescent="0.15">
      <c r="E679" s="292"/>
    </row>
    <row r="680" spans="5:5" ht="12.75" customHeight="1" x14ac:dyDescent="0.15">
      <c r="E680" s="292"/>
    </row>
    <row r="681" spans="5:5" ht="12.75" customHeight="1" x14ac:dyDescent="0.15">
      <c r="E681" s="292"/>
    </row>
    <row r="682" spans="5:5" ht="12.75" customHeight="1" x14ac:dyDescent="0.15">
      <c r="E682" s="292"/>
    </row>
    <row r="683" spans="5:5" ht="12.75" customHeight="1" x14ac:dyDescent="0.15">
      <c r="E683" s="292"/>
    </row>
    <row r="684" spans="5:5" ht="12.75" customHeight="1" x14ac:dyDescent="0.15">
      <c r="E684" s="292"/>
    </row>
    <row r="685" spans="5:5" ht="12.75" customHeight="1" x14ac:dyDescent="0.15">
      <c r="E685" s="292"/>
    </row>
    <row r="686" spans="5:5" ht="12.75" customHeight="1" x14ac:dyDescent="0.15">
      <c r="E686" s="292"/>
    </row>
    <row r="687" spans="5:5" ht="12.75" customHeight="1" x14ac:dyDescent="0.15">
      <c r="E687" s="292"/>
    </row>
    <row r="688" spans="5:5" ht="12.75" customHeight="1" x14ac:dyDescent="0.15">
      <c r="E688" s="292"/>
    </row>
    <row r="689" spans="5:5" ht="12.75" customHeight="1" x14ac:dyDescent="0.15">
      <c r="E689" s="292"/>
    </row>
    <row r="690" spans="5:5" ht="12.75" customHeight="1" x14ac:dyDescent="0.15">
      <c r="E690" s="292"/>
    </row>
    <row r="691" spans="5:5" ht="12.75" customHeight="1" x14ac:dyDescent="0.15">
      <c r="E691" s="292"/>
    </row>
    <row r="692" spans="5:5" ht="12.75" customHeight="1" x14ac:dyDescent="0.15">
      <c r="E692" s="292"/>
    </row>
    <row r="693" spans="5:5" ht="12.75" customHeight="1" x14ac:dyDescent="0.15">
      <c r="E693" s="292"/>
    </row>
    <row r="694" spans="5:5" ht="12.75" customHeight="1" x14ac:dyDescent="0.15">
      <c r="E694" s="292"/>
    </row>
    <row r="695" spans="5:5" ht="12.75" customHeight="1" x14ac:dyDescent="0.15">
      <c r="E695" s="292"/>
    </row>
    <row r="696" spans="5:5" ht="12.75" customHeight="1" x14ac:dyDescent="0.15">
      <c r="E696" s="292"/>
    </row>
    <row r="697" spans="5:5" ht="12.75" customHeight="1" x14ac:dyDescent="0.15">
      <c r="E697" s="292"/>
    </row>
    <row r="698" spans="5:5" ht="12.75" customHeight="1" x14ac:dyDescent="0.15">
      <c r="E698" s="292"/>
    </row>
    <row r="699" spans="5:5" ht="12.75" customHeight="1" x14ac:dyDescent="0.15">
      <c r="E699" s="292"/>
    </row>
    <row r="700" spans="5:5" ht="12.75" customHeight="1" x14ac:dyDescent="0.15">
      <c r="E700" s="292"/>
    </row>
    <row r="701" spans="5:5" ht="12.75" customHeight="1" x14ac:dyDescent="0.15">
      <c r="E701" s="292"/>
    </row>
    <row r="702" spans="5:5" ht="12.75" customHeight="1" x14ac:dyDescent="0.15">
      <c r="E702" s="292"/>
    </row>
    <row r="703" spans="5:5" ht="12.75" customHeight="1" x14ac:dyDescent="0.15">
      <c r="E703" s="292"/>
    </row>
    <row r="704" spans="5:5" ht="12.75" customHeight="1" x14ac:dyDescent="0.15">
      <c r="E704" s="292"/>
    </row>
    <row r="705" spans="5:5" ht="12.75" customHeight="1" x14ac:dyDescent="0.15">
      <c r="E705" s="292"/>
    </row>
    <row r="706" spans="5:5" ht="12.75" customHeight="1" x14ac:dyDescent="0.15">
      <c r="E706" s="292"/>
    </row>
    <row r="707" spans="5:5" ht="12.75" customHeight="1" x14ac:dyDescent="0.15">
      <c r="E707" s="292"/>
    </row>
    <row r="708" spans="5:5" ht="12.75" customHeight="1" x14ac:dyDescent="0.15">
      <c r="E708" s="292"/>
    </row>
    <row r="709" spans="5:5" ht="12.75" customHeight="1" x14ac:dyDescent="0.15">
      <c r="E709" s="292"/>
    </row>
    <row r="710" spans="5:5" ht="12.75" customHeight="1" x14ac:dyDescent="0.15">
      <c r="E710" s="292"/>
    </row>
    <row r="711" spans="5:5" ht="12.75" customHeight="1" x14ac:dyDescent="0.15">
      <c r="E711" s="292"/>
    </row>
    <row r="712" spans="5:5" ht="12.75" customHeight="1" x14ac:dyDescent="0.15">
      <c r="E712" s="292"/>
    </row>
    <row r="713" spans="5:5" ht="12.75" customHeight="1" x14ac:dyDescent="0.15">
      <c r="E713" s="292"/>
    </row>
    <row r="714" spans="5:5" ht="12.75" customHeight="1" x14ac:dyDescent="0.15">
      <c r="E714" s="292"/>
    </row>
    <row r="715" spans="5:5" ht="12.75" customHeight="1" x14ac:dyDescent="0.15">
      <c r="E715" s="292"/>
    </row>
    <row r="716" spans="5:5" ht="12.75" customHeight="1" x14ac:dyDescent="0.15">
      <c r="E716" s="292"/>
    </row>
    <row r="717" spans="5:5" ht="12.75" customHeight="1" x14ac:dyDescent="0.15">
      <c r="E717" s="292"/>
    </row>
    <row r="718" spans="5:5" ht="12.75" customHeight="1" x14ac:dyDescent="0.15">
      <c r="E718" s="292"/>
    </row>
    <row r="719" spans="5:5" ht="12.75" customHeight="1" x14ac:dyDescent="0.15">
      <c r="E719" s="292"/>
    </row>
    <row r="720" spans="5:5" ht="12.75" customHeight="1" x14ac:dyDescent="0.15">
      <c r="E720" s="292"/>
    </row>
    <row r="721" spans="5:5" ht="12.75" customHeight="1" x14ac:dyDescent="0.15">
      <c r="E721" s="292"/>
    </row>
    <row r="722" spans="5:5" ht="12.75" customHeight="1" x14ac:dyDescent="0.15">
      <c r="E722" s="292"/>
    </row>
    <row r="723" spans="5:5" ht="12.75" customHeight="1" x14ac:dyDescent="0.15">
      <c r="E723" s="292"/>
    </row>
    <row r="724" spans="5:5" ht="12.75" customHeight="1" x14ac:dyDescent="0.15">
      <c r="E724" s="292"/>
    </row>
    <row r="725" spans="5:5" ht="12.75" customHeight="1" x14ac:dyDescent="0.15">
      <c r="E725" s="292"/>
    </row>
    <row r="726" spans="5:5" ht="12.75" customHeight="1" x14ac:dyDescent="0.15">
      <c r="E726" s="292"/>
    </row>
    <row r="727" spans="5:5" ht="12.75" customHeight="1" x14ac:dyDescent="0.15">
      <c r="E727" s="292"/>
    </row>
    <row r="728" spans="5:5" ht="12.75" customHeight="1" x14ac:dyDescent="0.15">
      <c r="E728" s="292"/>
    </row>
    <row r="729" spans="5:5" ht="12.75" customHeight="1" x14ac:dyDescent="0.15">
      <c r="E729" s="292"/>
    </row>
    <row r="730" spans="5:5" ht="12.75" customHeight="1" x14ac:dyDescent="0.15">
      <c r="E730" s="292"/>
    </row>
    <row r="731" spans="5:5" ht="12.75" customHeight="1" x14ac:dyDescent="0.15">
      <c r="E731" s="292"/>
    </row>
    <row r="732" spans="5:5" ht="12.75" customHeight="1" x14ac:dyDescent="0.15">
      <c r="E732" s="292"/>
    </row>
    <row r="733" spans="5:5" ht="12.75" customHeight="1" x14ac:dyDescent="0.15">
      <c r="E733" s="292"/>
    </row>
    <row r="734" spans="5:5" ht="12.75" customHeight="1" x14ac:dyDescent="0.15">
      <c r="E734" s="292"/>
    </row>
    <row r="735" spans="5:5" ht="12.75" customHeight="1" x14ac:dyDescent="0.15">
      <c r="E735" s="292"/>
    </row>
    <row r="736" spans="5:5" ht="12.75" customHeight="1" x14ac:dyDescent="0.15">
      <c r="E736" s="292"/>
    </row>
    <row r="737" spans="5:5" ht="12.75" customHeight="1" x14ac:dyDescent="0.15">
      <c r="E737" s="292"/>
    </row>
    <row r="738" spans="5:5" ht="12.75" customHeight="1" x14ac:dyDescent="0.15">
      <c r="E738" s="292"/>
    </row>
    <row r="739" spans="5:5" ht="12.75" customHeight="1" x14ac:dyDescent="0.15">
      <c r="E739" s="292"/>
    </row>
    <row r="740" spans="5:5" ht="12.75" customHeight="1" x14ac:dyDescent="0.15">
      <c r="E740" s="292"/>
    </row>
    <row r="741" spans="5:5" ht="12.75" customHeight="1" x14ac:dyDescent="0.15">
      <c r="E741" s="292"/>
    </row>
    <row r="742" spans="5:5" ht="12.75" customHeight="1" x14ac:dyDescent="0.15">
      <c r="E742" s="292"/>
    </row>
    <row r="743" spans="5:5" ht="12.75" customHeight="1" x14ac:dyDescent="0.15">
      <c r="E743" s="292"/>
    </row>
    <row r="744" spans="5:5" ht="12.75" customHeight="1" x14ac:dyDescent="0.15">
      <c r="E744" s="292"/>
    </row>
    <row r="745" spans="5:5" ht="12.75" customHeight="1" x14ac:dyDescent="0.15">
      <c r="E745" s="292"/>
    </row>
    <row r="746" spans="5:5" ht="12.75" customHeight="1" x14ac:dyDescent="0.15">
      <c r="E746" s="292"/>
    </row>
    <row r="747" spans="5:5" ht="12.75" customHeight="1" x14ac:dyDescent="0.15">
      <c r="E747" s="292"/>
    </row>
    <row r="748" spans="5:5" ht="12.75" customHeight="1" x14ac:dyDescent="0.15">
      <c r="E748" s="292"/>
    </row>
    <row r="749" spans="5:5" ht="12.75" customHeight="1" x14ac:dyDescent="0.15">
      <c r="E749" s="292"/>
    </row>
    <row r="750" spans="5:5" ht="12.75" customHeight="1" x14ac:dyDescent="0.15">
      <c r="E750" s="292"/>
    </row>
    <row r="751" spans="5:5" ht="12.75" customHeight="1" x14ac:dyDescent="0.15">
      <c r="E751" s="292"/>
    </row>
    <row r="752" spans="5:5" ht="12.75" customHeight="1" x14ac:dyDescent="0.15">
      <c r="E752" s="292"/>
    </row>
    <row r="753" spans="5:5" ht="12.75" customHeight="1" x14ac:dyDescent="0.15">
      <c r="E753" s="292"/>
    </row>
    <row r="754" spans="5:5" ht="12.75" customHeight="1" x14ac:dyDescent="0.15">
      <c r="E754" s="292"/>
    </row>
    <row r="755" spans="5:5" ht="12.75" customHeight="1" x14ac:dyDescent="0.15">
      <c r="E755" s="292"/>
    </row>
    <row r="756" spans="5:5" ht="12.75" customHeight="1" x14ac:dyDescent="0.15">
      <c r="E756" s="292"/>
    </row>
    <row r="757" spans="5:5" ht="12.75" customHeight="1" x14ac:dyDescent="0.15">
      <c r="E757" s="292"/>
    </row>
    <row r="758" spans="5:5" ht="12.75" customHeight="1" x14ac:dyDescent="0.15">
      <c r="E758" s="292"/>
    </row>
    <row r="759" spans="5:5" ht="12.75" customHeight="1" x14ac:dyDescent="0.15">
      <c r="E759" s="292"/>
    </row>
    <row r="760" spans="5:5" ht="12.75" customHeight="1" x14ac:dyDescent="0.15">
      <c r="E760" s="292"/>
    </row>
    <row r="761" spans="5:5" ht="12.75" customHeight="1" x14ac:dyDescent="0.15">
      <c r="E761" s="292"/>
    </row>
    <row r="762" spans="5:5" ht="12.75" customHeight="1" x14ac:dyDescent="0.15">
      <c r="E762" s="292"/>
    </row>
    <row r="763" spans="5:5" ht="12.75" customHeight="1" x14ac:dyDescent="0.15">
      <c r="E763" s="292"/>
    </row>
    <row r="764" spans="5:5" ht="12.75" customHeight="1" x14ac:dyDescent="0.15">
      <c r="E764" s="292"/>
    </row>
    <row r="765" spans="5:5" ht="12.75" customHeight="1" x14ac:dyDescent="0.15">
      <c r="E765" s="292"/>
    </row>
    <row r="766" spans="5:5" ht="12.75" customHeight="1" x14ac:dyDescent="0.15">
      <c r="E766" s="292"/>
    </row>
    <row r="767" spans="5:5" ht="12.75" customHeight="1" x14ac:dyDescent="0.15">
      <c r="E767" s="292"/>
    </row>
    <row r="768" spans="5:5" ht="12.75" customHeight="1" x14ac:dyDescent="0.15">
      <c r="E768" s="292"/>
    </row>
    <row r="769" spans="5:5" ht="12.75" customHeight="1" x14ac:dyDescent="0.15">
      <c r="E769" s="292"/>
    </row>
    <row r="770" spans="5:5" ht="12.75" customHeight="1" x14ac:dyDescent="0.15">
      <c r="E770" s="292"/>
    </row>
    <row r="771" spans="5:5" ht="12.75" customHeight="1" x14ac:dyDescent="0.15">
      <c r="E771" s="292"/>
    </row>
    <row r="772" spans="5:5" ht="12.75" customHeight="1" x14ac:dyDescent="0.15">
      <c r="E772" s="292"/>
    </row>
    <row r="773" spans="5:5" ht="12.75" customHeight="1" x14ac:dyDescent="0.15">
      <c r="E773" s="292"/>
    </row>
    <row r="774" spans="5:5" ht="12.75" customHeight="1" x14ac:dyDescent="0.15">
      <c r="E774" s="292"/>
    </row>
    <row r="775" spans="5:5" ht="12.75" customHeight="1" x14ac:dyDescent="0.15">
      <c r="E775" s="292"/>
    </row>
    <row r="776" spans="5:5" ht="12.75" customHeight="1" x14ac:dyDescent="0.15">
      <c r="E776" s="292"/>
    </row>
    <row r="777" spans="5:5" ht="12.75" customHeight="1" x14ac:dyDescent="0.15">
      <c r="E777" s="292"/>
    </row>
    <row r="778" spans="5:5" ht="12.75" customHeight="1" x14ac:dyDescent="0.15">
      <c r="E778" s="292"/>
    </row>
    <row r="779" spans="5:5" ht="12.75" customHeight="1" x14ac:dyDescent="0.15">
      <c r="E779" s="292"/>
    </row>
    <row r="780" spans="5:5" ht="12.75" customHeight="1" x14ac:dyDescent="0.15">
      <c r="E780" s="292"/>
    </row>
    <row r="781" spans="5:5" ht="12.75" customHeight="1" x14ac:dyDescent="0.15">
      <c r="E781" s="292"/>
    </row>
    <row r="782" spans="5:5" ht="12.75" customHeight="1" x14ac:dyDescent="0.15">
      <c r="E782" s="292"/>
    </row>
    <row r="783" spans="5:5" ht="12.75" customHeight="1" x14ac:dyDescent="0.15">
      <c r="E783" s="292"/>
    </row>
    <row r="784" spans="5:5" ht="12.75" customHeight="1" x14ac:dyDescent="0.15">
      <c r="E784" s="292"/>
    </row>
    <row r="785" spans="5:5" ht="12.75" customHeight="1" x14ac:dyDescent="0.15">
      <c r="E785" s="292"/>
    </row>
    <row r="786" spans="5:5" ht="12.75" customHeight="1" x14ac:dyDescent="0.15">
      <c r="E786" s="292"/>
    </row>
    <row r="787" spans="5:5" ht="12.75" customHeight="1" x14ac:dyDescent="0.15">
      <c r="E787" s="292"/>
    </row>
    <row r="788" spans="5:5" ht="12.75" customHeight="1" x14ac:dyDescent="0.15">
      <c r="E788" s="292"/>
    </row>
    <row r="789" spans="5:5" ht="12.75" customHeight="1" x14ac:dyDescent="0.15">
      <c r="E789" s="292"/>
    </row>
    <row r="790" spans="5:5" ht="12.75" customHeight="1" x14ac:dyDescent="0.15">
      <c r="E790" s="292"/>
    </row>
    <row r="791" spans="5:5" ht="12.75" customHeight="1" x14ac:dyDescent="0.15">
      <c r="E791" s="292"/>
    </row>
    <row r="792" spans="5:5" ht="12.75" customHeight="1" x14ac:dyDescent="0.15">
      <c r="E792" s="292"/>
    </row>
    <row r="793" spans="5:5" ht="12.75" customHeight="1" x14ac:dyDescent="0.15">
      <c r="E793" s="292"/>
    </row>
    <row r="794" spans="5:5" ht="12.75" customHeight="1" x14ac:dyDescent="0.15">
      <c r="E794" s="292"/>
    </row>
    <row r="795" spans="5:5" ht="12.75" customHeight="1" x14ac:dyDescent="0.15">
      <c r="E795" s="292"/>
    </row>
    <row r="796" spans="5:5" ht="12.75" customHeight="1" x14ac:dyDescent="0.15">
      <c r="E796" s="292"/>
    </row>
    <row r="797" spans="5:5" ht="12.75" customHeight="1" x14ac:dyDescent="0.15">
      <c r="E797" s="292"/>
    </row>
    <row r="798" spans="5:5" ht="12.75" customHeight="1" x14ac:dyDescent="0.15">
      <c r="E798" s="292"/>
    </row>
    <row r="799" spans="5:5" ht="12.75" customHeight="1" x14ac:dyDescent="0.15">
      <c r="E799" s="292"/>
    </row>
    <row r="800" spans="5:5" ht="12.75" customHeight="1" x14ac:dyDescent="0.15">
      <c r="E800" s="292"/>
    </row>
    <row r="801" spans="5:5" ht="12.75" customHeight="1" x14ac:dyDescent="0.15">
      <c r="E801" s="292"/>
    </row>
    <row r="802" spans="5:5" ht="12.75" customHeight="1" x14ac:dyDescent="0.15">
      <c r="E802" s="292"/>
    </row>
    <row r="803" spans="5:5" ht="12.75" customHeight="1" x14ac:dyDescent="0.15">
      <c r="E803" s="292"/>
    </row>
    <row r="804" spans="5:5" ht="12.75" customHeight="1" x14ac:dyDescent="0.15">
      <c r="E804" s="292"/>
    </row>
    <row r="805" spans="5:5" ht="12.75" customHeight="1" x14ac:dyDescent="0.15">
      <c r="E805" s="292"/>
    </row>
    <row r="806" spans="5:5" ht="12.75" customHeight="1" x14ac:dyDescent="0.15">
      <c r="E806" s="292"/>
    </row>
    <row r="807" spans="5:5" ht="12.75" customHeight="1" x14ac:dyDescent="0.15">
      <c r="E807" s="292"/>
    </row>
    <row r="808" spans="5:5" ht="12.75" customHeight="1" x14ac:dyDescent="0.15">
      <c r="E808" s="292"/>
    </row>
    <row r="809" spans="5:5" ht="12.75" customHeight="1" x14ac:dyDescent="0.15">
      <c r="E809" s="292"/>
    </row>
    <row r="810" spans="5:5" ht="12.75" customHeight="1" x14ac:dyDescent="0.15">
      <c r="E810" s="292"/>
    </row>
    <row r="811" spans="5:5" ht="12.75" customHeight="1" x14ac:dyDescent="0.15">
      <c r="E811" s="292"/>
    </row>
    <row r="812" spans="5:5" ht="12.75" customHeight="1" x14ac:dyDescent="0.15">
      <c r="E812" s="292"/>
    </row>
    <row r="813" spans="5:5" ht="12.75" customHeight="1" x14ac:dyDescent="0.15">
      <c r="E813" s="292"/>
    </row>
    <row r="814" spans="5:5" ht="12.75" customHeight="1" x14ac:dyDescent="0.15">
      <c r="E814" s="292"/>
    </row>
    <row r="815" spans="5:5" ht="12.75" customHeight="1" x14ac:dyDescent="0.15">
      <c r="E815" s="292"/>
    </row>
    <row r="816" spans="5:5" ht="12.75" customHeight="1" x14ac:dyDescent="0.15">
      <c r="E816" s="292"/>
    </row>
    <row r="817" spans="5:5" ht="12.75" customHeight="1" x14ac:dyDescent="0.15">
      <c r="E817" s="292"/>
    </row>
    <row r="818" spans="5:5" ht="12.75" customHeight="1" x14ac:dyDescent="0.15">
      <c r="E818" s="292"/>
    </row>
    <row r="819" spans="5:5" ht="12.75" customHeight="1" x14ac:dyDescent="0.15">
      <c r="E819" s="292"/>
    </row>
    <row r="820" spans="5:5" ht="12.75" customHeight="1" x14ac:dyDescent="0.15">
      <c r="E820" s="292"/>
    </row>
    <row r="821" spans="5:5" ht="12.75" customHeight="1" x14ac:dyDescent="0.15">
      <c r="E821" s="292"/>
    </row>
    <row r="822" spans="5:5" ht="12.75" customHeight="1" x14ac:dyDescent="0.15">
      <c r="E822" s="292"/>
    </row>
    <row r="823" spans="5:5" ht="12.75" customHeight="1" x14ac:dyDescent="0.15">
      <c r="E823" s="292"/>
    </row>
    <row r="824" spans="5:5" ht="12.75" customHeight="1" x14ac:dyDescent="0.15">
      <c r="E824" s="292"/>
    </row>
    <row r="825" spans="5:5" ht="12.75" customHeight="1" x14ac:dyDescent="0.15">
      <c r="E825" s="292"/>
    </row>
    <row r="826" spans="5:5" ht="12.75" customHeight="1" x14ac:dyDescent="0.15">
      <c r="E826" s="292"/>
    </row>
    <row r="827" spans="5:5" ht="12.75" customHeight="1" x14ac:dyDescent="0.15">
      <c r="E827" s="292"/>
    </row>
    <row r="828" spans="5:5" ht="12.75" customHeight="1" x14ac:dyDescent="0.15">
      <c r="E828" s="292"/>
    </row>
    <row r="829" spans="5:5" ht="12.75" customHeight="1" x14ac:dyDescent="0.15">
      <c r="E829" s="292"/>
    </row>
    <row r="830" spans="5:5" ht="12.75" customHeight="1" x14ac:dyDescent="0.15">
      <c r="E830" s="292"/>
    </row>
    <row r="831" spans="5:5" ht="12.75" customHeight="1" x14ac:dyDescent="0.15">
      <c r="E831" s="292"/>
    </row>
    <row r="832" spans="5:5" ht="12.75" customHeight="1" x14ac:dyDescent="0.15">
      <c r="E832" s="292"/>
    </row>
    <row r="833" spans="5:5" ht="12.75" customHeight="1" x14ac:dyDescent="0.15">
      <c r="E833" s="292"/>
    </row>
    <row r="834" spans="5:5" ht="12.75" customHeight="1" x14ac:dyDescent="0.15">
      <c r="E834" s="292"/>
    </row>
    <row r="835" spans="5:5" ht="12.75" customHeight="1" x14ac:dyDescent="0.15">
      <c r="E835" s="292"/>
    </row>
    <row r="836" spans="5:5" ht="12.75" customHeight="1" x14ac:dyDescent="0.15">
      <c r="E836" s="292"/>
    </row>
    <row r="837" spans="5:5" ht="12.75" customHeight="1" x14ac:dyDescent="0.15">
      <c r="E837" s="292"/>
    </row>
    <row r="838" spans="5:5" ht="12.75" customHeight="1" x14ac:dyDescent="0.15">
      <c r="E838" s="292"/>
    </row>
    <row r="839" spans="5:5" ht="12.75" customHeight="1" x14ac:dyDescent="0.15">
      <c r="E839" s="292"/>
    </row>
    <row r="840" spans="5:5" ht="12.75" customHeight="1" x14ac:dyDescent="0.15">
      <c r="E840" s="292"/>
    </row>
    <row r="841" spans="5:5" ht="12.75" customHeight="1" x14ac:dyDescent="0.15">
      <c r="E841" s="292"/>
    </row>
    <row r="842" spans="5:5" ht="12.75" customHeight="1" x14ac:dyDescent="0.15">
      <c r="E842" s="292"/>
    </row>
    <row r="843" spans="5:5" ht="12.75" customHeight="1" x14ac:dyDescent="0.15">
      <c r="E843" s="292"/>
    </row>
    <row r="844" spans="5:5" ht="12.75" customHeight="1" x14ac:dyDescent="0.15">
      <c r="E844" s="292"/>
    </row>
    <row r="845" spans="5:5" ht="12.75" customHeight="1" x14ac:dyDescent="0.15">
      <c r="E845" s="292"/>
    </row>
    <row r="846" spans="5:5" ht="12.75" customHeight="1" x14ac:dyDescent="0.15">
      <c r="E846" s="292"/>
    </row>
    <row r="847" spans="5:5" ht="12.75" customHeight="1" x14ac:dyDescent="0.15">
      <c r="E847" s="292"/>
    </row>
    <row r="848" spans="5:5" ht="12.75" customHeight="1" x14ac:dyDescent="0.15">
      <c r="E848" s="292"/>
    </row>
    <row r="849" spans="5:5" ht="12.75" customHeight="1" x14ac:dyDescent="0.15">
      <c r="E849" s="292"/>
    </row>
    <row r="850" spans="5:5" ht="12.75" customHeight="1" x14ac:dyDescent="0.15">
      <c r="E850" s="292"/>
    </row>
    <row r="851" spans="5:5" ht="12.75" customHeight="1" x14ac:dyDescent="0.15">
      <c r="E851" s="292"/>
    </row>
    <row r="852" spans="5:5" ht="12.75" customHeight="1" x14ac:dyDescent="0.15">
      <c r="E852" s="292"/>
    </row>
    <row r="853" spans="5:5" ht="12.75" customHeight="1" x14ac:dyDescent="0.15">
      <c r="E853" s="292"/>
    </row>
    <row r="854" spans="5:5" ht="12.75" customHeight="1" x14ac:dyDescent="0.15">
      <c r="E854" s="292"/>
    </row>
    <row r="855" spans="5:5" ht="12.75" customHeight="1" x14ac:dyDescent="0.15">
      <c r="E855" s="292"/>
    </row>
    <row r="856" spans="5:5" ht="12.75" customHeight="1" x14ac:dyDescent="0.15">
      <c r="E856" s="292"/>
    </row>
    <row r="857" spans="5:5" ht="12.75" customHeight="1" x14ac:dyDescent="0.15">
      <c r="E857" s="292"/>
    </row>
    <row r="858" spans="5:5" ht="12.75" customHeight="1" x14ac:dyDescent="0.15">
      <c r="E858" s="292"/>
    </row>
    <row r="859" spans="5:5" ht="12.75" customHeight="1" x14ac:dyDescent="0.15">
      <c r="E859" s="292"/>
    </row>
    <row r="860" spans="5:5" ht="12.75" customHeight="1" x14ac:dyDescent="0.15">
      <c r="E860" s="292"/>
    </row>
    <row r="861" spans="5:5" ht="12.75" customHeight="1" x14ac:dyDescent="0.15">
      <c r="E861" s="292"/>
    </row>
    <row r="862" spans="5:5" ht="12.75" customHeight="1" x14ac:dyDescent="0.15">
      <c r="E862" s="292"/>
    </row>
    <row r="863" spans="5:5" ht="12.75" customHeight="1" x14ac:dyDescent="0.15">
      <c r="E863" s="292"/>
    </row>
    <row r="864" spans="5:5" ht="12.75" customHeight="1" x14ac:dyDescent="0.15">
      <c r="E864" s="292"/>
    </row>
    <row r="865" spans="5:5" ht="12.75" customHeight="1" x14ac:dyDescent="0.15">
      <c r="E865" s="292"/>
    </row>
    <row r="866" spans="5:5" ht="12.75" customHeight="1" x14ac:dyDescent="0.15">
      <c r="E866" s="292"/>
    </row>
    <row r="867" spans="5:5" ht="12.75" customHeight="1" x14ac:dyDescent="0.15">
      <c r="E867" s="292"/>
    </row>
    <row r="868" spans="5:5" ht="12.75" customHeight="1" x14ac:dyDescent="0.15">
      <c r="E868" s="292"/>
    </row>
    <row r="869" spans="5:5" ht="12.75" customHeight="1" x14ac:dyDescent="0.15">
      <c r="E869" s="292"/>
    </row>
    <row r="870" spans="5:5" ht="12.75" customHeight="1" x14ac:dyDescent="0.15">
      <c r="E870" s="292"/>
    </row>
    <row r="871" spans="5:5" ht="12.75" customHeight="1" x14ac:dyDescent="0.15">
      <c r="E871" s="292"/>
    </row>
    <row r="872" spans="5:5" ht="12.75" customHeight="1" x14ac:dyDescent="0.15">
      <c r="E872" s="292"/>
    </row>
    <row r="873" spans="5:5" ht="12.75" customHeight="1" x14ac:dyDescent="0.15">
      <c r="E873" s="292"/>
    </row>
    <row r="874" spans="5:5" ht="12.75" customHeight="1" x14ac:dyDescent="0.15">
      <c r="E874" s="292"/>
    </row>
    <row r="875" spans="5:5" ht="12.75" customHeight="1" x14ac:dyDescent="0.15">
      <c r="E875" s="292"/>
    </row>
    <row r="876" spans="5:5" ht="12.75" customHeight="1" x14ac:dyDescent="0.15">
      <c r="E876" s="292"/>
    </row>
    <row r="877" spans="5:5" ht="12.75" customHeight="1" x14ac:dyDescent="0.15">
      <c r="E877" s="292"/>
    </row>
    <row r="878" spans="5:5" ht="12.75" customHeight="1" x14ac:dyDescent="0.15">
      <c r="E878" s="292"/>
    </row>
    <row r="879" spans="5:5" ht="12.75" customHeight="1" x14ac:dyDescent="0.15">
      <c r="E879" s="292"/>
    </row>
    <row r="880" spans="5:5" ht="12.75" customHeight="1" x14ac:dyDescent="0.15">
      <c r="E880" s="292"/>
    </row>
    <row r="881" spans="5:5" ht="12.75" customHeight="1" x14ac:dyDescent="0.15">
      <c r="E881" s="292"/>
    </row>
    <row r="882" spans="5:5" ht="12.75" customHeight="1" x14ac:dyDescent="0.15">
      <c r="E882" s="292"/>
    </row>
    <row r="883" spans="5:5" ht="12.75" customHeight="1" x14ac:dyDescent="0.15">
      <c r="E883" s="292"/>
    </row>
    <row r="884" spans="5:5" ht="12.75" customHeight="1" x14ac:dyDescent="0.15">
      <c r="E884" s="292"/>
    </row>
    <row r="885" spans="5:5" ht="12.75" customHeight="1" x14ac:dyDescent="0.15">
      <c r="E885" s="292"/>
    </row>
    <row r="886" spans="5:5" ht="12.75" customHeight="1" x14ac:dyDescent="0.15">
      <c r="E886" s="292"/>
    </row>
    <row r="887" spans="5:5" ht="12.75" customHeight="1" x14ac:dyDescent="0.15">
      <c r="E887" s="292"/>
    </row>
    <row r="888" spans="5:5" ht="12.75" customHeight="1" x14ac:dyDescent="0.15">
      <c r="E888" s="292"/>
    </row>
    <row r="889" spans="5:5" ht="12.75" customHeight="1" x14ac:dyDescent="0.15">
      <c r="E889" s="292"/>
    </row>
    <row r="890" spans="5:5" ht="12.75" customHeight="1" x14ac:dyDescent="0.15">
      <c r="E890" s="292"/>
    </row>
    <row r="891" spans="5:5" ht="12.75" customHeight="1" x14ac:dyDescent="0.15">
      <c r="E891" s="292"/>
    </row>
    <row r="892" spans="5:5" ht="12.75" customHeight="1" x14ac:dyDescent="0.15">
      <c r="E892" s="292"/>
    </row>
    <row r="893" spans="5:5" ht="12.75" customHeight="1" x14ac:dyDescent="0.15">
      <c r="E893" s="292"/>
    </row>
    <row r="894" spans="5:5" ht="12.75" customHeight="1" x14ac:dyDescent="0.15">
      <c r="E894" s="292"/>
    </row>
    <row r="895" spans="5:5" ht="12.75" customHeight="1" x14ac:dyDescent="0.15">
      <c r="E895" s="292"/>
    </row>
    <row r="896" spans="5:5" ht="12.75" customHeight="1" x14ac:dyDescent="0.15">
      <c r="E896" s="292"/>
    </row>
    <row r="897" spans="5:5" ht="12.75" customHeight="1" x14ac:dyDescent="0.15">
      <c r="E897" s="292"/>
    </row>
    <row r="898" spans="5:5" ht="12.75" customHeight="1" x14ac:dyDescent="0.15">
      <c r="E898" s="292"/>
    </row>
    <row r="899" spans="5:5" ht="12.75" customHeight="1" x14ac:dyDescent="0.15">
      <c r="E899" s="292"/>
    </row>
    <row r="900" spans="5:5" ht="12.75" customHeight="1" x14ac:dyDescent="0.15">
      <c r="E900" s="292"/>
    </row>
    <row r="901" spans="5:5" ht="12.75" customHeight="1" x14ac:dyDescent="0.15">
      <c r="E901" s="292"/>
    </row>
    <row r="902" spans="5:5" ht="12.75" customHeight="1" x14ac:dyDescent="0.15">
      <c r="E902" s="292"/>
    </row>
    <row r="903" spans="5:5" ht="12.75" customHeight="1" x14ac:dyDescent="0.15">
      <c r="E903" s="292"/>
    </row>
    <row r="904" spans="5:5" ht="12.75" customHeight="1" x14ac:dyDescent="0.15">
      <c r="E904" s="292"/>
    </row>
    <row r="905" spans="5:5" ht="12.75" customHeight="1" x14ac:dyDescent="0.15">
      <c r="E905" s="292"/>
    </row>
    <row r="906" spans="5:5" ht="12.75" customHeight="1" x14ac:dyDescent="0.15">
      <c r="E906" s="292"/>
    </row>
    <row r="907" spans="5:5" ht="12.75" customHeight="1" x14ac:dyDescent="0.15">
      <c r="E907" s="292"/>
    </row>
    <row r="908" spans="5:5" ht="12.75" customHeight="1" x14ac:dyDescent="0.15">
      <c r="E908" s="292"/>
    </row>
    <row r="909" spans="5:5" ht="12.75" customHeight="1" x14ac:dyDescent="0.15">
      <c r="E909" s="292"/>
    </row>
    <row r="910" spans="5:5" ht="12.75" customHeight="1" x14ac:dyDescent="0.15">
      <c r="E910" s="292"/>
    </row>
    <row r="911" spans="5:5" ht="12.75" customHeight="1" x14ac:dyDescent="0.15">
      <c r="E911" s="292"/>
    </row>
    <row r="912" spans="5:5" ht="12.75" customHeight="1" x14ac:dyDescent="0.15">
      <c r="E912" s="292"/>
    </row>
    <row r="913" spans="5:5" ht="12.75" customHeight="1" x14ac:dyDescent="0.15">
      <c r="E913" s="292"/>
    </row>
    <row r="914" spans="5:5" ht="12.75" customHeight="1" x14ac:dyDescent="0.15">
      <c r="E914" s="292"/>
    </row>
    <row r="915" spans="5:5" ht="12.75" customHeight="1" x14ac:dyDescent="0.15">
      <c r="E915" s="292"/>
    </row>
    <row r="916" spans="5:5" ht="12.75" customHeight="1" x14ac:dyDescent="0.15">
      <c r="E916" s="292"/>
    </row>
    <row r="917" spans="5:5" ht="12.75" customHeight="1" x14ac:dyDescent="0.15">
      <c r="E917" s="292"/>
    </row>
    <row r="918" spans="5:5" ht="12.75" customHeight="1" x14ac:dyDescent="0.15">
      <c r="E918" s="292"/>
    </row>
    <row r="919" spans="5:5" ht="12.75" customHeight="1" x14ac:dyDescent="0.15">
      <c r="E919" s="292"/>
    </row>
    <row r="920" spans="5:5" ht="12.75" customHeight="1" x14ac:dyDescent="0.15">
      <c r="E920" s="292"/>
    </row>
    <row r="921" spans="5:5" ht="12.75" customHeight="1" x14ac:dyDescent="0.15">
      <c r="E921" s="292"/>
    </row>
    <row r="922" spans="5:5" ht="12.75" customHeight="1" x14ac:dyDescent="0.15">
      <c r="E922" s="292"/>
    </row>
    <row r="923" spans="5:5" ht="12.75" customHeight="1" x14ac:dyDescent="0.15">
      <c r="E923" s="292"/>
    </row>
    <row r="924" spans="5:5" ht="12.75" customHeight="1" x14ac:dyDescent="0.15">
      <c r="E924" s="292"/>
    </row>
    <row r="925" spans="5:5" ht="12.75" customHeight="1" x14ac:dyDescent="0.15">
      <c r="E925" s="292"/>
    </row>
    <row r="926" spans="5:5" ht="12.75" customHeight="1" x14ac:dyDescent="0.15">
      <c r="E926" s="292"/>
    </row>
    <row r="927" spans="5:5" ht="12.75" customHeight="1" x14ac:dyDescent="0.15">
      <c r="E927" s="292"/>
    </row>
    <row r="928" spans="5:5" ht="12.75" customHeight="1" x14ac:dyDescent="0.15">
      <c r="E928" s="292"/>
    </row>
    <row r="929" spans="5:5" ht="12.75" customHeight="1" x14ac:dyDescent="0.15">
      <c r="E929" s="292"/>
    </row>
    <row r="930" spans="5:5" ht="12.75" customHeight="1" x14ac:dyDescent="0.15">
      <c r="E930" s="292"/>
    </row>
    <row r="931" spans="5:5" ht="12.75" customHeight="1" x14ac:dyDescent="0.15">
      <c r="E931" s="292"/>
    </row>
    <row r="932" spans="5:5" ht="12.75" customHeight="1" x14ac:dyDescent="0.15">
      <c r="E932" s="292"/>
    </row>
    <row r="933" spans="5:5" ht="12.75" customHeight="1" x14ac:dyDescent="0.15">
      <c r="E933" s="292"/>
    </row>
    <row r="934" spans="5:5" ht="12.75" customHeight="1" x14ac:dyDescent="0.15">
      <c r="E934" s="292"/>
    </row>
    <row r="935" spans="5:5" ht="12.75" customHeight="1" x14ac:dyDescent="0.15">
      <c r="E935" s="292"/>
    </row>
    <row r="936" spans="5:5" ht="12.75" customHeight="1" x14ac:dyDescent="0.15">
      <c r="E936" s="292"/>
    </row>
    <row r="937" spans="5:5" ht="12.75" customHeight="1" x14ac:dyDescent="0.15">
      <c r="E937" s="292"/>
    </row>
    <row r="938" spans="5:5" ht="12.75" customHeight="1" x14ac:dyDescent="0.15">
      <c r="E938" s="292"/>
    </row>
    <row r="939" spans="5:5" ht="12.75" customHeight="1" x14ac:dyDescent="0.15">
      <c r="E939" s="292"/>
    </row>
    <row r="940" spans="5:5" ht="12.75" customHeight="1" x14ac:dyDescent="0.15">
      <c r="E940" s="292"/>
    </row>
    <row r="941" spans="5:5" ht="12.75" customHeight="1" x14ac:dyDescent="0.15">
      <c r="E941" s="292"/>
    </row>
    <row r="942" spans="5:5" ht="12.75" customHeight="1" x14ac:dyDescent="0.15">
      <c r="E942" s="292"/>
    </row>
    <row r="943" spans="5:5" ht="12.75" customHeight="1" x14ac:dyDescent="0.15">
      <c r="E943" s="292"/>
    </row>
    <row r="944" spans="5:5" ht="12.75" customHeight="1" x14ac:dyDescent="0.15">
      <c r="E944" s="292"/>
    </row>
    <row r="945" spans="5:5" ht="12.75" customHeight="1" x14ac:dyDescent="0.15">
      <c r="E945" s="292"/>
    </row>
    <row r="946" spans="5:5" ht="12.75" customHeight="1" x14ac:dyDescent="0.15">
      <c r="E946" s="292"/>
    </row>
    <row r="947" spans="5:5" ht="12.75" customHeight="1" x14ac:dyDescent="0.15">
      <c r="E947" s="292"/>
    </row>
    <row r="948" spans="5:5" ht="12.75" customHeight="1" x14ac:dyDescent="0.15">
      <c r="E948" s="292"/>
    </row>
    <row r="949" spans="5:5" ht="12.75" customHeight="1" x14ac:dyDescent="0.15">
      <c r="E949" s="292"/>
    </row>
    <row r="950" spans="5:5" ht="12.75" customHeight="1" x14ac:dyDescent="0.15">
      <c r="E950" s="292"/>
    </row>
    <row r="951" spans="5:5" ht="12.75" customHeight="1" x14ac:dyDescent="0.15">
      <c r="E951" s="292"/>
    </row>
    <row r="952" spans="5:5" ht="12.75" customHeight="1" x14ac:dyDescent="0.15">
      <c r="E952" s="292"/>
    </row>
    <row r="953" spans="5:5" ht="12.75" customHeight="1" x14ac:dyDescent="0.15">
      <c r="E953" s="292"/>
    </row>
    <row r="954" spans="5:5" ht="12.75" customHeight="1" x14ac:dyDescent="0.15">
      <c r="E954" s="292"/>
    </row>
    <row r="955" spans="5:5" ht="12.75" customHeight="1" x14ac:dyDescent="0.15">
      <c r="E955" s="292"/>
    </row>
    <row r="956" spans="5:5" ht="12.75" customHeight="1" x14ac:dyDescent="0.15">
      <c r="E956" s="292"/>
    </row>
    <row r="957" spans="5:5" ht="12.75" customHeight="1" x14ac:dyDescent="0.15">
      <c r="E957" s="292"/>
    </row>
    <row r="958" spans="5:5" ht="12.75" customHeight="1" x14ac:dyDescent="0.15">
      <c r="E958" s="292"/>
    </row>
    <row r="959" spans="5:5" ht="12.75" customHeight="1" x14ac:dyDescent="0.15">
      <c r="E959" s="292"/>
    </row>
    <row r="960" spans="5:5" ht="12.75" customHeight="1" x14ac:dyDescent="0.15">
      <c r="E960" s="292"/>
    </row>
    <row r="961" spans="5:5" ht="12.75" customHeight="1" x14ac:dyDescent="0.15">
      <c r="E961" s="292"/>
    </row>
    <row r="962" spans="5:5" ht="12.75" customHeight="1" x14ac:dyDescent="0.15">
      <c r="E962" s="292"/>
    </row>
    <row r="963" spans="5:5" ht="12.75" customHeight="1" x14ac:dyDescent="0.15">
      <c r="E963" s="292"/>
    </row>
    <row r="964" spans="5:5" ht="12.75" customHeight="1" x14ac:dyDescent="0.15">
      <c r="E964" s="292"/>
    </row>
    <row r="965" spans="5:5" ht="12.75" customHeight="1" x14ac:dyDescent="0.15">
      <c r="E965" s="292"/>
    </row>
    <row r="966" spans="5:5" ht="12.75" customHeight="1" x14ac:dyDescent="0.15">
      <c r="E966" s="292"/>
    </row>
    <row r="967" spans="5:5" ht="12.75" customHeight="1" x14ac:dyDescent="0.15">
      <c r="E967" s="292"/>
    </row>
    <row r="968" spans="5:5" ht="12.75" customHeight="1" x14ac:dyDescent="0.15">
      <c r="E968" s="292"/>
    </row>
    <row r="969" spans="5:5" ht="12.75" customHeight="1" x14ac:dyDescent="0.15">
      <c r="E969" s="292"/>
    </row>
    <row r="970" spans="5:5" ht="12.75" customHeight="1" x14ac:dyDescent="0.15">
      <c r="E970" s="292"/>
    </row>
    <row r="971" spans="5:5" ht="12.75" customHeight="1" x14ac:dyDescent="0.15">
      <c r="E971" s="292"/>
    </row>
    <row r="972" spans="5:5" ht="12.75" customHeight="1" x14ac:dyDescent="0.15">
      <c r="E972" s="292"/>
    </row>
    <row r="973" spans="5:5" ht="12.75" customHeight="1" x14ac:dyDescent="0.15">
      <c r="E973" s="292"/>
    </row>
    <row r="974" spans="5:5" ht="12.75" customHeight="1" x14ac:dyDescent="0.15">
      <c r="E974" s="292"/>
    </row>
    <row r="975" spans="5:5" ht="12.75" customHeight="1" x14ac:dyDescent="0.15">
      <c r="E975" s="292"/>
    </row>
    <row r="976" spans="5:5" ht="12.75" customHeight="1" x14ac:dyDescent="0.15">
      <c r="E976" s="292"/>
    </row>
    <row r="977" spans="5:5" ht="12.75" customHeight="1" x14ac:dyDescent="0.15">
      <c r="E977" s="292"/>
    </row>
    <row r="978" spans="5:5" ht="12.75" customHeight="1" x14ac:dyDescent="0.15">
      <c r="E978" s="292"/>
    </row>
    <row r="979" spans="5:5" ht="12.75" customHeight="1" x14ac:dyDescent="0.15">
      <c r="E979" s="292"/>
    </row>
    <row r="980" spans="5:5" ht="12.75" customHeight="1" x14ac:dyDescent="0.15">
      <c r="E980" s="292"/>
    </row>
    <row r="981" spans="5:5" ht="12.75" customHeight="1" x14ac:dyDescent="0.15">
      <c r="E981" s="292"/>
    </row>
    <row r="982" spans="5:5" ht="12.75" customHeight="1" x14ac:dyDescent="0.15">
      <c r="E982" s="292"/>
    </row>
    <row r="983" spans="5:5" ht="12.75" customHeight="1" x14ac:dyDescent="0.15">
      <c r="E983" s="292"/>
    </row>
    <row r="984" spans="5:5" ht="12.75" customHeight="1" x14ac:dyDescent="0.15">
      <c r="E984" s="292"/>
    </row>
    <row r="985" spans="5:5" ht="12.75" customHeight="1" x14ac:dyDescent="0.15">
      <c r="E985" s="292"/>
    </row>
    <row r="986" spans="5:5" ht="12.75" customHeight="1" x14ac:dyDescent="0.15">
      <c r="E986" s="292"/>
    </row>
    <row r="987" spans="5:5" ht="12.75" customHeight="1" x14ac:dyDescent="0.15">
      <c r="E987" s="292"/>
    </row>
    <row r="988" spans="5:5" ht="12.75" customHeight="1" x14ac:dyDescent="0.15">
      <c r="E988" s="292"/>
    </row>
    <row r="989" spans="5:5" ht="12.75" customHeight="1" x14ac:dyDescent="0.15">
      <c r="E989" s="292"/>
    </row>
    <row r="990" spans="5:5" ht="12.75" customHeight="1" x14ac:dyDescent="0.15">
      <c r="E990" s="292"/>
    </row>
    <row r="991" spans="5:5" ht="12.75" customHeight="1" x14ac:dyDescent="0.15">
      <c r="E991" s="292"/>
    </row>
    <row r="992" spans="5:5" ht="12.75" customHeight="1" x14ac:dyDescent="0.15">
      <c r="E992" s="292"/>
    </row>
    <row r="993" spans="5:5" ht="12.75" customHeight="1" x14ac:dyDescent="0.15">
      <c r="E993" s="292"/>
    </row>
    <row r="994" spans="5:5" ht="12.75" customHeight="1" x14ac:dyDescent="0.15">
      <c r="E994" s="292"/>
    </row>
    <row r="995" spans="5:5" ht="12.75" customHeight="1" x14ac:dyDescent="0.15">
      <c r="E995" s="292"/>
    </row>
    <row r="996" spans="5:5" ht="12.75" customHeight="1" x14ac:dyDescent="0.15">
      <c r="E996" s="292"/>
    </row>
    <row r="997" spans="5:5" ht="12.75" customHeight="1" x14ac:dyDescent="0.15">
      <c r="E997" s="292"/>
    </row>
    <row r="998" spans="5:5" ht="12.75" customHeight="1" x14ac:dyDescent="0.15">
      <c r="E998" s="292"/>
    </row>
    <row r="999" spans="5:5" ht="12.75" customHeight="1" x14ac:dyDescent="0.15">
      <c r="E999" s="292"/>
    </row>
    <row r="1000" spans="5:5" ht="12.75" customHeight="1" x14ac:dyDescent="0.15">
      <c r="E1000" s="292"/>
    </row>
  </sheetData>
  <autoFilter ref="A1:F308" xr:uid="{00000000-0009-0000-0000-000006000000}">
    <filterColumn colId="5">
      <filters>
        <filter val="10.02%"/>
        <filter val="10.03%"/>
        <filter val="10.04%"/>
        <filter val="10.46%"/>
        <filter val="10.54%"/>
        <filter val="10.67%"/>
        <filter val="10.74%"/>
        <filter val="11.12%"/>
        <filter val="11.14%"/>
        <filter val="12.14%"/>
        <filter val="12.53%"/>
        <filter val="12.58%"/>
        <filter val="12.83%"/>
        <filter val="13.07%"/>
        <filter val="13.19%"/>
        <filter val="13.35%"/>
        <filter val="13.42%"/>
        <filter val="14.31%"/>
        <filter val="14.33%"/>
        <filter val="14.39%"/>
        <filter val="15.40%"/>
        <filter val="16.67%"/>
        <filter val="16.72%"/>
        <filter val="19.05%"/>
        <filter val="2.57%"/>
        <filter val="20.08%"/>
        <filter val="20.10%"/>
        <filter val="3.92%"/>
        <filter val="30.03%"/>
        <filter val="4.00%"/>
        <filter val="4.18%"/>
        <filter val="4.22%"/>
        <filter val="4.55%"/>
        <filter val="4.77%"/>
        <filter val="5.01%"/>
        <filter val="5.28%"/>
        <filter val="5.56%"/>
        <filter val="5.89%"/>
        <filter val="6.22%"/>
        <filter val="6.26%"/>
        <filter val="6.40%"/>
        <filter val="6.52%"/>
        <filter val="6.68%"/>
        <filter val="7.17%"/>
        <filter val="7.38%"/>
        <filter val="7.52%"/>
        <filter val="7.57%"/>
        <filter val="7.70%"/>
        <filter val="8.03%"/>
        <filter val="8.33%"/>
        <filter val="8.34%"/>
        <filter val="8.60%"/>
        <filter val="8.70%"/>
        <filter val="9.03%"/>
        <filter val="9.12%"/>
        <filter val="9.53%"/>
      </filters>
    </filterColumn>
  </autoFilter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38"/>
  <sheetViews>
    <sheetView workbookViewId="0"/>
  </sheetViews>
  <sheetFormatPr baseColWidth="10" defaultColWidth="12.5" defaultRowHeight="15" customHeight="1" x14ac:dyDescent="0.15"/>
  <cols>
    <col min="1" max="1" width="18.1640625" customWidth="1"/>
    <col min="2" max="3" width="19.5" customWidth="1"/>
    <col min="4" max="5" width="17.33203125" customWidth="1"/>
  </cols>
  <sheetData>
    <row r="1" spans="1:10" ht="15" customHeight="1" x14ac:dyDescent="0.15">
      <c r="B1" s="345" t="s">
        <v>0</v>
      </c>
      <c r="C1" s="346" t="s">
        <v>1</v>
      </c>
      <c r="D1" s="347" t="s">
        <v>4</v>
      </c>
      <c r="E1" s="347" t="s">
        <v>5</v>
      </c>
    </row>
    <row r="2" spans="1:10" ht="15" customHeight="1" x14ac:dyDescent="0.15">
      <c r="A2" s="74" t="s">
        <v>160</v>
      </c>
      <c r="B2" s="348">
        <v>10.49</v>
      </c>
      <c r="C2" s="348">
        <v>11.99</v>
      </c>
      <c r="D2" s="348">
        <f t="shared" ref="D2:E2" si="0">B2*1.25</f>
        <v>13.112500000000001</v>
      </c>
      <c r="E2" s="348">
        <f t="shared" si="0"/>
        <v>14.987500000000001</v>
      </c>
    </row>
    <row r="3" spans="1:10" ht="15" customHeight="1" x14ac:dyDescent="0.15">
      <c r="A3" s="74" t="s">
        <v>403</v>
      </c>
      <c r="B3" s="348">
        <v>1.99</v>
      </c>
      <c r="C3" s="348">
        <v>2.2799999999999998</v>
      </c>
      <c r="D3" s="348">
        <f t="shared" ref="D3:E3" si="1">B3*1.25</f>
        <v>2.4874999999999998</v>
      </c>
      <c r="E3" s="348">
        <f t="shared" si="1"/>
        <v>2.8499999999999996</v>
      </c>
    </row>
    <row r="4" spans="1:10" ht="15" customHeight="1" x14ac:dyDescent="0.15">
      <c r="A4" s="74" t="s">
        <v>953</v>
      </c>
      <c r="B4" s="74">
        <v>2.91</v>
      </c>
      <c r="C4" s="74">
        <v>2.91</v>
      </c>
      <c r="D4" s="348">
        <f t="shared" ref="D4:E4" si="2">B4*1.25</f>
        <v>3.6375000000000002</v>
      </c>
      <c r="E4" s="348">
        <f t="shared" si="2"/>
        <v>3.6375000000000002</v>
      </c>
    </row>
    <row r="5" spans="1:10" ht="15" customHeight="1" x14ac:dyDescent="0.15">
      <c r="A5" s="349" t="s">
        <v>954</v>
      </c>
      <c r="B5" s="348">
        <f t="shared" ref="B5:E5" si="3">SUM(B2:B4)</f>
        <v>15.39</v>
      </c>
      <c r="C5" s="348">
        <f t="shared" si="3"/>
        <v>17.18</v>
      </c>
      <c r="D5" s="350">
        <f t="shared" si="3"/>
        <v>19.237500000000001</v>
      </c>
      <c r="E5" s="350">
        <f t="shared" si="3"/>
        <v>21.474999999999998</v>
      </c>
    </row>
    <row r="6" spans="1:10" ht="15" customHeight="1" x14ac:dyDescent="0.15">
      <c r="A6" s="349" t="s">
        <v>955</v>
      </c>
      <c r="B6" s="198"/>
      <c r="C6" s="348"/>
      <c r="D6" s="351">
        <f t="shared" ref="D6:E6" si="4">D5*0.7</f>
        <v>13.46625</v>
      </c>
      <c r="E6" s="351">
        <f t="shared" si="4"/>
        <v>15.032499999999997</v>
      </c>
    </row>
    <row r="7" spans="1:10" ht="15" customHeight="1" x14ac:dyDescent="0.15">
      <c r="A7" s="74"/>
      <c r="B7" s="198"/>
      <c r="C7" s="348"/>
      <c r="D7" s="348"/>
      <c r="E7" s="348"/>
    </row>
    <row r="8" spans="1:10" ht="15" customHeight="1" x14ac:dyDescent="0.15">
      <c r="A8" s="74"/>
      <c r="B8" s="198"/>
      <c r="C8" s="348"/>
      <c r="D8" s="348"/>
      <c r="E8" s="348"/>
    </row>
    <row r="9" spans="1:10" ht="15" customHeight="1" x14ac:dyDescent="0.15">
      <c r="A9" s="74"/>
      <c r="B9" s="352" t="s">
        <v>0</v>
      </c>
      <c r="C9" s="353" t="s">
        <v>1</v>
      </c>
      <c r="D9" s="354" t="s">
        <v>4</v>
      </c>
      <c r="E9" s="354" t="s">
        <v>5</v>
      </c>
    </row>
    <row r="10" spans="1:10" ht="15" customHeight="1" x14ac:dyDescent="0.15">
      <c r="A10" s="74" t="s">
        <v>160</v>
      </c>
      <c r="B10" s="348">
        <v>10.49</v>
      </c>
      <c r="C10" s="348">
        <v>11.99</v>
      </c>
      <c r="D10" s="348">
        <f t="shared" ref="D10:E10" si="5">B10*1.25</f>
        <v>13.112500000000001</v>
      </c>
      <c r="E10" s="348">
        <f t="shared" si="5"/>
        <v>14.987500000000001</v>
      </c>
    </row>
    <row r="11" spans="1:10" ht="15" customHeight="1" x14ac:dyDescent="0.15">
      <c r="A11" s="74" t="s">
        <v>956</v>
      </c>
      <c r="B11" s="348">
        <v>3.49</v>
      </c>
      <c r="C11" s="348">
        <v>3.79</v>
      </c>
      <c r="D11" s="348">
        <f t="shared" ref="D11:E11" si="6">B11*1.25</f>
        <v>4.3625000000000007</v>
      </c>
      <c r="E11" s="348">
        <f t="shared" si="6"/>
        <v>4.7374999999999998</v>
      </c>
    </row>
    <row r="12" spans="1:10" ht="15" customHeight="1" x14ac:dyDescent="0.15">
      <c r="A12" s="349" t="s">
        <v>954</v>
      </c>
      <c r="B12" s="348">
        <f t="shared" ref="B12:E12" si="7">SUM(B10:B11)</f>
        <v>13.98</v>
      </c>
      <c r="C12" s="348">
        <f t="shared" si="7"/>
        <v>15.780000000000001</v>
      </c>
      <c r="D12" s="350">
        <f t="shared" si="7"/>
        <v>17.475000000000001</v>
      </c>
      <c r="E12" s="350">
        <f t="shared" si="7"/>
        <v>19.725000000000001</v>
      </c>
      <c r="I12" s="348">
        <f>12/B12</f>
        <v>0.85836909871244638</v>
      </c>
      <c r="J12" s="74">
        <f>13.98*0.14</f>
        <v>1.9572000000000003</v>
      </c>
    </row>
    <row r="13" spans="1:10" ht="15" customHeight="1" x14ac:dyDescent="0.15">
      <c r="A13" s="349" t="s">
        <v>955</v>
      </c>
      <c r="B13" s="348"/>
      <c r="C13" s="348"/>
      <c r="D13" s="351">
        <f t="shared" ref="D13:E13" si="8">D12*0.7</f>
        <v>12.2325</v>
      </c>
      <c r="E13" s="351">
        <f t="shared" si="8"/>
        <v>13.807500000000001</v>
      </c>
      <c r="J13" s="74">
        <f>13.98-J12</f>
        <v>12.0228</v>
      </c>
    </row>
    <row r="16" spans="1:10" ht="15" customHeight="1" x14ac:dyDescent="0.15">
      <c r="B16" s="352" t="s">
        <v>0</v>
      </c>
      <c r="C16" s="353" t="s">
        <v>1</v>
      </c>
      <c r="D16" s="354" t="s">
        <v>4</v>
      </c>
      <c r="E16" s="354" t="s">
        <v>5</v>
      </c>
    </row>
    <row r="17" spans="1:5" ht="15" customHeight="1" x14ac:dyDescent="0.15">
      <c r="A17" s="74" t="s">
        <v>207</v>
      </c>
      <c r="B17" s="348">
        <v>11.49</v>
      </c>
      <c r="C17" s="348">
        <v>14.49</v>
      </c>
      <c r="D17" s="348">
        <v>14.362500000000001</v>
      </c>
      <c r="E17" s="348">
        <v>18.112500000000001</v>
      </c>
    </row>
    <row r="18" spans="1:5" ht="15" customHeight="1" x14ac:dyDescent="0.15">
      <c r="A18" s="349" t="s">
        <v>955</v>
      </c>
      <c r="D18" s="351">
        <f t="shared" ref="D18:E18" si="9">D17*0.7</f>
        <v>10.053749999999999</v>
      </c>
      <c r="E18" s="351">
        <f t="shared" si="9"/>
        <v>12.678749999999999</v>
      </c>
    </row>
    <row r="21" spans="1:5" ht="15" customHeight="1" x14ac:dyDescent="0.15">
      <c r="B21" s="352" t="s">
        <v>0</v>
      </c>
      <c r="C21" s="353" t="s">
        <v>1</v>
      </c>
      <c r="D21" s="354" t="s">
        <v>4</v>
      </c>
      <c r="E21" s="354" t="s">
        <v>5</v>
      </c>
    </row>
    <row r="22" spans="1:5" ht="15" customHeight="1" x14ac:dyDescent="0.15">
      <c r="A22" s="74" t="s">
        <v>192</v>
      </c>
      <c r="B22" s="348">
        <v>9.99</v>
      </c>
      <c r="C22" s="348">
        <v>10.99</v>
      </c>
      <c r="D22" s="348">
        <v>12.487500000000001</v>
      </c>
      <c r="E22" s="348">
        <v>13.737500000000001</v>
      </c>
    </row>
    <row r="23" spans="1:5" ht="15" customHeight="1" x14ac:dyDescent="0.15">
      <c r="A23" s="74" t="s">
        <v>254</v>
      </c>
      <c r="B23" s="348">
        <v>3.59</v>
      </c>
      <c r="C23" s="348">
        <v>3.99</v>
      </c>
      <c r="D23" s="348">
        <v>4.4874999999999998</v>
      </c>
      <c r="E23" s="348">
        <v>4.9875000000000007</v>
      </c>
    </row>
    <row r="24" spans="1:5" ht="15" customHeight="1" x14ac:dyDescent="0.15">
      <c r="A24" s="349" t="s">
        <v>954</v>
      </c>
      <c r="B24" s="348">
        <f t="shared" ref="B24:E24" si="10">SUM(B22:B23)</f>
        <v>13.58</v>
      </c>
      <c r="C24" s="348">
        <f t="shared" si="10"/>
        <v>14.98</v>
      </c>
      <c r="D24" s="348">
        <f t="shared" si="10"/>
        <v>16.975000000000001</v>
      </c>
      <c r="E24" s="348">
        <f t="shared" si="10"/>
        <v>18.725000000000001</v>
      </c>
    </row>
    <row r="25" spans="1:5" ht="15" customHeight="1" x14ac:dyDescent="0.15">
      <c r="A25" s="349" t="s">
        <v>955</v>
      </c>
      <c r="B25" s="198"/>
      <c r="C25" s="348"/>
      <c r="D25" s="351">
        <f t="shared" ref="D25:E25" si="11">D24*0.7</f>
        <v>11.8825</v>
      </c>
      <c r="E25" s="351">
        <f t="shared" si="11"/>
        <v>13.1075</v>
      </c>
    </row>
    <row r="30" spans="1:5" ht="15" customHeight="1" x14ac:dyDescent="0.15">
      <c r="A30" s="74"/>
      <c r="B30" s="352" t="s">
        <v>0</v>
      </c>
      <c r="C30" s="353" t="s">
        <v>1</v>
      </c>
      <c r="D30" s="354" t="s">
        <v>4</v>
      </c>
      <c r="E30" s="354" t="s">
        <v>5</v>
      </c>
    </row>
    <row r="31" spans="1:5" ht="15" customHeight="1" x14ac:dyDescent="0.15">
      <c r="A31" s="74" t="s">
        <v>195</v>
      </c>
      <c r="B31" s="348">
        <v>4.99</v>
      </c>
      <c r="C31" s="348">
        <v>5.49</v>
      </c>
      <c r="D31" s="348">
        <f t="shared" ref="D31:E31" si="12">B31*1.25</f>
        <v>6.2375000000000007</v>
      </c>
      <c r="E31" s="348">
        <f t="shared" si="12"/>
        <v>6.8625000000000007</v>
      </c>
    </row>
    <row r="32" spans="1:5" ht="15" customHeight="1" x14ac:dyDescent="0.15">
      <c r="A32" s="74" t="s">
        <v>254</v>
      </c>
      <c r="B32" s="348">
        <v>3.59</v>
      </c>
      <c r="C32" s="348">
        <v>3.99</v>
      </c>
      <c r="D32" s="348">
        <f t="shared" ref="D32:E32" si="13">B32*1.25</f>
        <v>4.4874999999999998</v>
      </c>
      <c r="E32" s="348">
        <f t="shared" si="13"/>
        <v>4.9875000000000007</v>
      </c>
    </row>
    <row r="33" spans="1:10" ht="15" customHeight="1" x14ac:dyDescent="0.15">
      <c r="A33" s="74" t="s">
        <v>403</v>
      </c>
      <c r="B33" s="348">
        <v>1.99</v>
      </c>
      <c r="C33" s="348">
        <v>2.2799999999999998</v>
      </c>
      <c r="D33" s="348">
        <f t="shared" ref="D33:E33" si="14">B33*1.25</f>
        <v>2.4874999999999998</v>
      </c>
      <c r="E33" s="348">
        <f t="shared" si="14"/>
        <v>2.8499999999999996</v>
      </c>
    </row>
    <row r="34" spans="1:10" ht="15" customHeight="1" x14ac:dyDescent="0.15">
      <c r="A34" s="349" t="s">
        <v>954</v>
      </c>
      <c r="B34" s="348">
        <f t="shared" ref="B34:C34" si="15">SUM(B31:B32)</f>
        <v>8.58</v>
      </c>
      <c r="C34" s="348">
        <f t="shared" si="15"/>
        <v>9.48</v>
      </c>
      <c r="D34" s="350">
        <f t="shared" ref="D34:E34" si="16">SUM(D31:D33)</f>
        <v>13.212500000000002</v>
      </c>
      <c r="E34" s="350">
        <f t="shared" si="16"/>
        <v>14.700000000000001</v>
      </c>
      <c r="I34" s="348">
        <f>12/B34</f>
        <v>1.3986013986013985</v>
      </c>
      <c r="J34" s="74">
        <f>13.98*0.14</f>
        <v>1.9572000000000003</v>
      </c>
    </row>
    <row r="35" spans="1:10" ht="15" customHeight="1" x14ac:dyDescent="0.15">
      <c r="A35" s="349" t="s">
        <v>955</v>
      </c>
      <c r="B35" s="348"/>
      <c r="C35" s="348"/>
      <c r="D35" s="351">
        <f t="shared" ref="D35:E35" si="17">D34*0.7</f>
        <v>9.2487500000000011</v>
      </c>
      <c r="E35" s="351">
        <f t="shared" si="17"/>
        <v>10.290000000000001</v>
      </c>
      <c r="J35" s="74">
        <f>13.98-J34</f>
        <v>12.0228</v>
      </c>
    </row>
    <row r="37" spans="1:10" ht="15" customHeight="1" x14ac:dyDescent="0.15">
      <c r="A37" s="74" t="s">
        <v>957</v>
      </c>
      <c r="D37" s="74">
        <v>17.100000000000001</v>
      </c>
      <c r="E37" s="74">
        <v>17.100000000000001</v>
      </c>
    </row>
    <row r="38" spans="1:10" ht="15" customHeight="1" x14ac:dyDescent="0.15">
      <c r="A38" s="349" t="s">
        <v>955</v>
      </c>
      <c r="D38" s="351">
        <f t="shared" ref="D38:E38" si="18">D37*0.7</f>
        <v>11.97</v>
      </c>
      <c r="E38" s="351">
        <f t="shared" si="18"/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Prices Tier 1 &amp; 2 </vt:lpstr>
      <vt:lpstr>Catering Menu</vt:lpstr>
      <vt:lpstr>Menu Prices 2024-2025</vt:lpstr>
      <vt:lpstr>Guayaba Menu</vt:lpstr>
      <vt:lpstr>Menu 20230828 - Tier 1</vt:lpstr>
      <vt:lpstr>Menu - Tier 2</vt:lpstr>
      <vt:lpstr>Orden by sales</vt:lpstr>
      <vt:lpstr>$12 Meal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Lisdey Martinez</dc:creator>
  <cp:lastModifiedBy>Mauricio Pareja Bolivar</cp:lastModifiedBy>
  <dcterms:created xsi:type="dcterms:W3CDTF">2024-11-01T19:59:06Z</dcterms:created>
  <dcterms:modified xsi:type="dcterms:W3CDTF">2026-02-01T04:19:09Z</dcterms:modified>
</cp:coreProperties>
</file>